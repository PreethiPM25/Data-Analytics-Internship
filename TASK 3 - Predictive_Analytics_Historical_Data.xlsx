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eethi\Downloads\"/>
    </mc:Choice>
  </mc:AlternateContent>
  <xr:revisionPtr revIDLastSave="0" documentId="13_ncr:1_{24914A5C-23C6-49EE-B6FC-D4F8B179ECED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Historical Sales Trend" sheetId="3" r:id="rId1"/>
    <sheet name="Revenue Analysis" sheetId="4" r:id="rId2"/>
    <sheet name="Profit Distribution" sheetId="5" r:id="rId3"/>
    <sheet name="Historical Data" sheetId="1" r:id="rId4"/>
    <sheet name="Dashboard" sheetId="2" r:id="rId5"/>
  </sheets>
  <calcPr calcId="191029"/>
  <pivotCaches>
    <pivotCache cacheId="6" r:id="rId6"/>
  </pivotCaches>
</workbook>
</file>

<file path=xl/calcChain.xml><?xml version="1.0" encoding="utf-8"?>
<calcChain xmlns="http://schemas.openxmlformats.org/spreadsheetml/2006/main">
  <c r="H1" i="2" l="1"/>
  <c r="E1" i="2"/>
  <c r="B1" i="2"/>
</calcChain>
</file>

<file path=xl/sharedStrings.xml><?xml version="1.0" encoding="utf-8"?>
<sst xmlns="http://schemas.openxmlformats.org/spreadsheetml/2006/main" count="191" uniqueCount="66">
  <si>
    <t>Date</t>
  </si>
  <si>
    <t>Month</t>
  </si>
  <si>
    <t>Product</t>
  </si>
  <si>
    <t>Sales_Units</t>
  </si>
  <si>
    <t>Revenue</t>
  </si>
  <si>
    <t>Profit</t>
  </si>
  <si>
    <t>Forecast_Sales</t>
  </si>
  <si>
    <t>2026-01-01</t>
  </si>
  <si>
    <t>Jan</t>
  </si>
  <si>
    <t>Headphones</t>
  </si>
  <si>
    <t>2026-01-04</t>
  </si>
  <si>
    <t>Smartwatch</t>
  </si>
  <si>
    <t>2026-01-07</t>
  </si>
  <si>
    <t>2026-01-10</t>
  </si>
  <si>
    <t>Tablet</t>
  </si>
  <si>
    <t>2026-01-13</t>
  </si>
  <si>
    <t>Phone</t>
  </si>
  <si>
    <t>2026-01-16</t>
  </si>
  <si>
    <t>2026-01-19</t>
  </si>
  <si>
    <t>2026-01-22</t>
  </si>
  <si>
    <t>2026-01-25</t>
  </si>
  <si>
    <t>2026-01-28</t>
  </si>
  <si>
    <t>2026-01-31</t>
  </si>
  <si>
    <t>2026-02-03</t>
  </si>
  <si>
    <t>Feb</t>
  </si>
  <si>
    <t>2026-02-06</t>
  </si>
  <si>
    <t>2026-02-09</t>
  </si>
  <si>
    <t>2026-02-12</t>
  </si>
  <si>
    <t>2026-02-15</t>
  </si>
  <si>
    <t>2026-02-18</t>
  </si>
  <si>
    <t>Laptop</t>
  </si>
  <si>
    <t>2026-02-21</t>
  </si>
  <si>
    <t>2026-02-24</t>
  </si>
  <si>
    <t>2026-02-27</t>
  </si>
  <si>
    <t>2026-03-02</t>
  </si>
  <si>
    <t>Mar</t>
  </si>
  <si>
    <t>2026-03-05</t>
  </si>
  <si>
    <t>2026-03-08</t>
  </si>
  <si>
    <t>2026-03-11</t>
  </si>
  <si>
    <t>2026-03-14</t>
  </si>
  <si>
    <t>2026-03-17</t>
  </si>
  <si>
    <t>2026-03-20</t>
  </si>
  <si>
    <t>2026-03-23</t>
  </si>
  <si>
    <t>2026-03-26</t>
  </si>
  <si>
    <t>2026-03-29</t>
  </si>
  <si>
    <t>2026-04-01</t>
  </si>
  <si>
    <t>Apr</t>
  </si>
  <si>
    <t>2026-04-04</t>
  </si>
  <si>
    <t>2026-04-07</t>
  </si>
  <si>
    <t>2026-04-10</t>
  </si>
  <si>
    <t>2026-04-13</t>
  </si>
  <si>
    <t>2026-04-16</t>
  </si>
  <si>
    <t>2026-04-19</t>
  </si>
  <si>
    <t>2026-04-22</t>
  </si>
  <si>
    <t>2026-04-25</t>
  </si>
  <si>
    <t>2026-04-28</t>
  </si>
  <si>
    <t>Total Sales</t>
  </si>
  <si>
    <t>Total Revenue</t>
  </si>
  <si>
    <t>Average Profit</t>
  </si>
  <si>
    <t>PREDICTIVE ANALYTICS USING HISTORICAL DATA</t>
  </si>
  <si>
    <t>Row Labels</t>
  </si>
  <si>
    <t>Grand Total</t>
  </si>
  <si>
    <t>Sum of Sales_Units</t>
  </si>
  <si>
    <t>Sum of Revenue</t>
  </si>
  <si>
    <t>Sum of Profit</t>
  </si>
  <si>
    <r>
      <rPr>
        <b/>
        <u/>
        <sz val="14"/>
        <color rgb="FFFF0000"/>
        <rFont val="Bodoni MT"/>
        <family val="1"/>
      </rPr>
      <t>KEY INSIGHTS</t>
    </r>
    <r>
      <rPr>
        <b/>
        <sz val="14"/>
        <color theme="1"/>
        <rFont val="Bodoni MT"/>
        <family val="1"/>
      </rPr>
      <t xml:space="preserve">
</t>
    </r>
    <r>
      <rPr>
        <b/>
        <sz val="14"/>
        <color theme="8" tint="-0.249977111117893"/>
        <rFont val="Bodoni MT"/>
        <family val="1"/>
      </rPr>
      <t>Historical sales show fluctuations with an overall stable trend.</t>
    </r>
    <r>
      <rPr>
        <b/>
        <sz val="14"/>
        <color theme="1"/>
        <rFont val="Bodoni MT"/>
        <family val="1"/>
      </rPr>
      <t xml:space="preserve">
</t>
    </r>
    <r>
      <rPr>
        <b/>
        <sz val="14"/>
        <color theme="9" tint="-0.499984740745262"/>
        <rFont val="Bodoni MT"/>
        <family val="1"/>
      </rPr>
      <t>Phone products generated the highest revenue among all products.</t>
    </r>
    <r>
      <rPr>
        <b/>
        <sz val="14"/>
        <color theme="1"/>
        <rFont val="Bodoni MT"/>
        <family val="1"/>
      </rPr>
      <t xml:space="preserve">
</t>
    </r>
    <r>
      <rPr>
        <b/>
        <sz val="14"/>
        <color rgb="FF002060"/>
        <rFont val="Bodoni MT"/>
        <family val="1"/>
      </rPr>
      <t>Profit distribution indicates that some products contribute more significantly to overall profitability.</t>
    </r>
    <r>
      <rPr>
        <b/>
        <sz val="14"/>
        <color theme="1"/>
        <rFont val="Bodoni MT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</si>
</sst>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Bodoni MT"/>
      <family val="1"/>
    </font>
    <font>
      <b/>
      <sz val="24"/>
      <color rgb="FF002060"/>
      <name val="Eras Demi ITC"/>
      <family val="2"/>
    </font>
    <font>
      <b/>
      <u/>
      <sz val="14"/>
      <color rgb="FFFF0000"/>
      <name val="Bodoni MT"/>
      <family val="1"/>
    </font>
    <font>
      <b/>
      <sz val="14"/>
      <color theme="8" tint="-0.249977111117893"/>
      <name val="Bodoni MT"/>
      <family val="1"/>
    </font>
    <font>
      <b/>
      <sz val="14"/>
      <color theme="9" tint="-0.499984740745262"/>
      <name val="Bodoni MT"/>
      <family val="1"/>
    </font>
    <font>
      <b/>
      <sz val="14"/>
      <color rgb="FF002060"/>
      <name val="Bodoni MT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[Predictive_Analytics_Historical_Data.xlsx]Historical Sales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'Historical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'Historical Sales Trend'!$A$4:$A$44</c:f>
              <c:strCache>
                <c:ptCount val="40"/>
                <c:pt idx="0">
                  <c:v>2026-01-01</c:v>
                </c:pt>
                <c:pt idx="1">
                  <c:v>2026-01-04</c:v>
                </c:pt>
                <c:pt idx="2">
                  <c:v>2026-01-07</c:v>
                </c:pt>
                <c:pt idx="3">
                  <c:v>2026-01-10</c:v>
                </c:pt>
                <c:pt idx="4">
                  <c:v>2026-01-13</c:v>
                </c:pt>
                <c:pt idx="5">
                  <c:v>2026-01-16</c:v>
                </c:pt>
                <c:pt idx="6">
                  <c:v>2026-01-19</c:v>
                </c:pt>
                <c:pt idx="7">
                  <c:v>2026-01-22</c:v>
                </c:pt>
                <c:pt idx="8">
                  <c:v>2026-01-25</c:v>
                </c:pt>
                <c:pt idx="9">
                  <c:v>2026-01-28</c:v>
                </c:pt>
                <c:pt idx="10">
                  <c:v>2026-01-31</c:v>
                </c:pt>
                <c:pt idx="11">
                  <c:v>2026-02-03</c:v>
                </c:pt>
                <c:pt idx="12">
                  <c:v>2026-02-06</c:v>
                </c:pt>
                <c:pt idx="13">
                  <c:v>2026-02-09</c:v>
                </c:pt>
                <c:pt idx="14">
                  <c:v>2026-02-12</c:v>
                </c:pt>
                <c:pt idx="15">
                  <c:v>2026-02-15</c:v>
                </c:pt>
                <c:pt idx="16">
                  <c:v>2026-02-18</c:v>
                </c:pt>
                <c:pt idx="17">
                  <c:v>2026-02-21</c:v>
                </c:pt>
                <c:pt idx="18">
                  <c:v>2026-02-24</c:v>
                </c:pt>
                <c:pt idx="19">
                  <c:v>2026-02-27</c:v>
                </c:pt>
                <c:pt idx="20">
                  <c:v>2026-03-02</c:v>
                </c:pt>
                <c:pt idx="21">
                  <c:v>2026-03-05</c:v>
                </c:pt>
                <c:pt idx="22">
                  <c:v>2026-03-08</c:v>
                </c:pt>
                <c:pt idx="23">
                  <c:v>2026-03-11</c:v>
                </c:pt>
                <c:pt idx="24">
                  <c:v>2026-03-14</c:v>
                </c:pt>
                <c:pt idx="25">
                  <c:v>2026-03-17</c:v>
                </c:pt>
                <c:pt idx="26">
                  <c:v>2026-03-20</c:v>
                </c:pt>
                <c:pt idx="27">
                  <c:v>2026-03-23</c:v>
                </c:pt>
                <c:pt idx="28">
                  <c:v>2026-03-26</c:v>
                </c:pt>
                <c:pt idx="29">
                  <c:v>2026-03-29</c:v>
                </c:pt>
                <c:pt idx="30">
                  <c:v>2026-04-01</c:v>
                </c:pt>
                <c:pt idx="31">
                  <c:v>2026-04-04</c:v>
                </c:pt>
                <c:pt idx="32">
                  <c:v>2026-04-07</c:v>
                </c:pt>
                <c:pt idx="33">
                  <c:v>2026-04-10</c:v>
                </c:pt>
                <c:pt idx="34">
                  <c:v>2026-04-13</c:v>
                </c:pt>
                <c:pt idx="35">
                  <c:v>2026-04-16</c:v>
                </c:pt>
                <c:pt idx="36">
                  <c:v>2026-04-19</c:v>
                </c:pt>
                <c:pt idx="37">
                  <c:v>2026-04-22</c:v>
                </c:pt>
                <c:pt idx="38">
                  <c:v>2026-04-25</c:v>
                </c:pt>
                <c:pt idx="39">
                  <c:v>2026-04-28</c:v>
                </c:pt>
              </c:strCache>
            </c:strRef>
          </c:cat>
          <c:val>
            <c:numRef>
              <c:f>'Historical Sales Trend'!$B$4:$B$44</c:f>
              <c:numCache>
                <c:formatCode>General</c:formatCode>
                <c:ptCount val="40"/>
                <c:pt idx="0">
                  <c:v>128</c:v>
                </c:pt>
                <c:pt idx="1">
                  <c:v>72</c:v>
                </c:pt>
                <c:pt idx="2">
                  <c:v>87</c:v>
                </c:pt>
                <c:pt idx="3">
                  <c:v>78</c:v>
                </c:pt>
                <c:pt idx="4">
                  <c:v>57</c:v>
                </c:pt>
                <c:pt idx="5">
                  <c:v>176</c:v>
                </c:pt>
                <c:pt idx="6">
                  <c:v>96</c:v>
                </c:pt>
                <c:pt idx="7">
                  <c:v>72</c:v>
                </c:pt>
                <c:pt idx="8">
                  <c:v>112</c:v>
                </c:pt>
                <c:pt idx="9">
                  <c:v>51</c:v>
                </c:pt>
                <c:pt idx="10">
                  <c:v>128</c:v>
                </c:pt>
                <c:pt idx="11">
                  <c:v>120</c:v>
                </c:pt>
                <c:pt idx="12">
                  <c:v>77</c:v>
                </c:pt>
                <c:pt idx="13">
                  <c:v>120</c:v>
                </c:pt>
                <c:pt idx="14">
                  <c:v>155</c:v>
                </c:pt>
                <c:pt idx="15">
                  <c:v>158</c:v>
                </c:pt>
                <c:pt idx="16">
                  <c:v>63</c:v>
                </c:pt>
                <c:pt idx="17">
                  <c:v>48</c:v>
                </c:pt>
                <c:pt idx="18">
                  <c:v>177</c:v>
                </c:pt>
                <c:pt idx="19">
                  <c:v>64</c:v>
                </c:pt>
                <c:pt idx="20">
                  <c:v>163</c:v>
                </c:pt>
                <c:pt idx="21">
                  <c:v>115</c:v>
                </c:pt>
                <c:pt idx="22">
                  <c:v>165</c:v>
                </c:pt>
                <c:pt idx="23">
                  <c:v>71</c:v>
                </c:pt>
                <c:pt idx="24">
                  <c:v>117</c:v>
                </c:pt>
                <c:pt idx="25">
                  <c:v>122</c:v>
                </c:pt>
                <c:pt idx="26">
                  <c:v>69</c:v>
                </c:pt>
                <c:pt idx="27">
                  <c:v>147</c:v>
                </c:pt>
                <c:pt idx="28">
                  <c:v>79</c:v>
                </c:pt>
                <c:pt idx="29">
                  <c:v>129</c:v>
                </c:pt>
                <c:pt idx="30">
                  <c:v>106</c:v>
                </c:pt>
                <c:pt idx="31">
                  <c:v>103</c:v>
                </c:pt>
                <c:pt idx="32">
                  <c:v>146</c:v>
                </c:pt>
                <c:pt idx="33">
                  <c:v>148</c:v>
                </c:pt>
                <c:pt idx="34">
                  <c:v>139</c:v>
                </c:pt>
                <c:pt idx="35">
                  <c:v>173</c:v>
                </c:pt>
                <c:pt idx="36">
                  <c:v>145</c:v>
                </c:pt>
                <c:pt idx="37">
                  <c:v>107</c:v>
                </c:pt>
                <c:pt idx="38">
                  <c:v>163</c:v>
                </c:pt>
                <c:pt idx="3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B-4704-A97E-BFF176802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528271"/>
        <c:axId val="942519631"/>
      </c:lineChart>
      <c:catAx>
        <c:axId val="9425282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19631"/>
        <c:crosses val="autoZero"/>
        <c:auto val="1"/>
        <c:lblAlgn val="ctr"/>
        <c:lblOffset val="100"/>
        <c:noMultiLvlLbl val="0"/>
      </c:catAx>
      <c:valAx>
        <c:axId val="9425196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2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[Predictive_Analytics_Historical_Data.xlsx]Revenue 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'Revenue Analysis'!$A$4:$A$9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'Revenue Analysis'!$B$4:$B$9</c:f>
              <c:numCache>
                <c:formatCode>General</c:formatCode>
                <c:ptCount val="5"/>
                <c:pt idx="0">
                  <c:v>125983</c:v>
                </c:pt>
                <c:pt idx="1">
                  <c:v>58382</c:v>
                </c:pt>
                <c:pt idx="2">
                  <c:v>171885</c:v>
                </c:pt>
                <c:pt idx="3">
                  <c:v>65864</c:v>
                </c:pt>
                <c:pt idx="4">
                  <c:v>92919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6-47EB-A852-61BA5B4E0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5364655"/>
        <c:axId val="1155370415"/>
      </c:barChart>
      <c:catAx>
        <c:axId val="115536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70415"/>
        <c:crosses val="autoZero"/>
        <c:auto val="1"/>
        <c:lblAlgn val="ctr"/>
        <c:lblOffset val="100"/>
        <c:noMultiLvlLbl val="0"/>
      </c:catAx>
      <c:valAx>
        <c:axId val="11553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[Predictive_Analytics_Historical_Data.xlsx]Profit Distribution!PivotTable3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'Profit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Distribution'!$A$4:$A$9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'Profit Distribution'!$B$4:$B$9</c:f>
              <c:numCache>
                <c:formatCode>General</c:formatCode>
                <c:ptCount val="5"/>
                <c:pt idx="0">
                  <c:v>29620</c:v>
                </c:pt>
                <c:pt idx="1">
                  <c:v>13738</c:v>
                </c:pt>
                <c:pt idx="2">
                  <c:v>41617</c:v>
                </c:pt>
                <c:pt idx="3">
                  <c:v>17259</c:v>
                </c:pt>
                <c:pt idx="4">
                  <c:v>23410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C-464B-B5C1-794B0B9E1F2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[Predictive_Analytics_Historical_Data.xlsx]Historical Sales Trend!PivotTable1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'Historical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'Historical Sales Trend'!$A$4:$A$44</c:f>
              <c:strCache>
                <c:ptCount val="40"/>
                <c:pt idx="0">
                  <c:v>2026-01-01</c:v>
                </c:pt>
                <c:pt idx="1">
                  <c:v>2026-01-04</c:v>
                </c:pt>
                <c:pt idx="2">
                  <c:v>2026-01-07</c:v>
                </c:pt>
                <c:pt idx="3">
                  <c:v>2026-01-10</c:v>
                </c:pt>
                <c:pt idx="4">
                  <c:v>2026-01-13</c:v>
                </c:pt>
                <c:pt idx="5">
                  <c:v>2026-01-16</c:v>
                </c:pt>
                <c:pt idx="6">
                  <c:v>2026-01-19</c:v>
                </c:pt>
                <c:pt idx="7">
                  <c:v>2026-01-22</c:v>
                </c:pt>
                <c:pt idx="8">
                  <c:v>2026-01-25</c:v>
                </c:pt>
                <c:pt idx="9">
                  <c:v>2026-01-28</c:v>
                </c:pt>
                <c:pt idx="10">
                  <c:v>2026-01-31</c:v>
                </c:pt>
                <c:pt idx="11">
                  <c:v>2026-02-03</c:v>
                </c:pt>
                <c:pt idx="12">
                  <c:v>2026-02-06</c:v>
                </c:pt>
                <c:pt idx="13">
                  <c:v>2026-02-09</c:v>
                </c:pt>
                <c:pt idx="14">
                  <c:v>2026-02-12</c:v>
                </c:pt>
                <c:pt idx="15">
                  <c:v>2026-02-15</c:v>
                </c:pt>
                <c:pt idx="16">
                  <c:v>2026-02-18</c:v>
                </c:pt>
                <c:pt idx="17">
                  <c:v>2026-02-21</c:v>
                </c:pt>
                <c:pt idx="18">
                  <c:v>2026-02-24</c:v>
                </c:pt>
                <c:pt idx="19">
                  <c:v>2026-02-27</c:v>
                </c:pt>
                <c:pt idx="20">
                  <c:v>2026-03-02</c:v>
                </c:pt>
                <c:pt idx="21">
                  <c:v>2026-03-05</c:v>
                </c:pt>
                <c:pt idx="22">
                  <c:v>2026-03-08</c:v>
                </c:pt>
                <c:pt idx="23">
                  <c:v>2026-03-11</c:v>
                </c:pt>
                <c:pt idx="24">
                  <c:v>2026-03-14</c:v>
                </c:pt>
                <c:pt idx="25">
                  <c:v>2026-03-17</c:v>
                </c:pt>
                <c:pt idx="26">
                  <c:v>2026-03-20</c:v>
                </c:pt>
                <c:pt idx="27">
                  <c:v>2026-03-23</c:v>
                </c:pt>
                <c:pt idx="28">
                  <c:v>2026-03-26</c:v>
                </c:pt>
                <c:pt idx="29">
                  <c:v>2026-03-29</c:v>
                </c:pt>
                <c:pt idx="30">
                  <c:v>2026-04-01</c:v>
                </c:pt>
                <c:pt idx="31">
                  <c:v>2026-04-04</c:v>
                </c:pt>
                <c:pt idx="32">
                  <c:v>2026-04-07</c:v>
                </c:pt>
                <c:pt idx="33">
                  <c:v>2026-04-10</c:v>
                </c:pt>
                <c:pt idx="34">
                  <c:v>2026-04-13</c:v>
                </c:pt>
                <c:pt idx="35">
                  <c:v>2026-04-16</c:v>
                </c:pt>
                <c:pt idx="36">
                  <c:v>2026-04-19</c:v>
                </c:pt>
                <c:pt idx="37">
                  <c:v>2026-04-22</c:v>
                </c:pt>
                <c:pt idx="38">
                  <c:v>2026-04-25</c:v>
                </c:pt>
                <c:pt idx="39">
                  <c:v>2026-04-28</c:v>
                </c:pt>
              </c:strCache>
            </c:strRef>
          </c:cat>
          <c:val>
            <c:numRef>
              <c:f>'Historical Sales Trend'!$B$4:$B$44</c:f>
              <c:numCache>
                <c:formatCode>General</c:formatCode>
                <c:ptCount val="40"/>
                <c:pt idx="0">
                  <c:v>128</c:v>
                </c:pt>
                <c:pt idx="1">
                  <c:v>72</c:v>
                </c:pt>
                <c:pt idx="2">
                  <c:v>87</c:v>
                </c:pt>
                <c:pt idx="3">
                  <c:v>78</c:v>
                </c:pt>
                <c:pt idx="4">
                  <c:v>57</c:v>
                </c:pt>
                <c:pt idx="5">
                  <c:v>176</c:v>
                </c:pt>
                <c:pt idx="6">
                  <c:v>96</c:v>
                </c:pt>
                <c:pt idx="7">
                  <c:v>72</c:v>
                </c:pt>
                <c:pt idx="8">
                  <c:v>112</c:v>
                </c:pt>
                <c:pt idx="9">
                  <c:v>51</c:v>
                </c:pt>
                <c:pt idx="10">
                  <c:v>128</c:v>
                </c:pt>
                <c:pt idx="11">
                  <c:v>120</c:v>
                </c:pt>
                <c:pt idx="12">
                  <c:v>77</c:v>
                </c:pt>
                <c:pt idx="13">
                  <c:v>120</c:v>
                </c:pt>
                <c:pt idx="14">
                  <c:v>155</c:v>
                </c:pt>
                <c:pt idx="15">
                  <c:v>158</c:v>
                </c:pt>
                <c:pt idx="16">
                  <c:v>63</c:v>
                </c:pt>
                <c:pt idx="17">
                  <c:v>48</c:v>
                </c:pt>
                <c:pt idx="18">
                  <c:v>177</c:v>
                </c:pt>
                <c:pt idx="19">
                  <c:v>64</c:v>
                </c:pt>
                <c:pt idx="20">
                  <c:v>163</c:v>
                </c:pt>
                <c:pt idx="21">
                  <c:v>115</c:v>
                </c:pt>
                <c:pt idx="22">
                  <c:v>165</c:v>
                </c:pt>
                <c:pt idx="23">
                  <c:v>71</c:v>
                </c:pt>
                <c:pt idx="24">
                  <c:v>117</c:v>
                </c:pt>
                <c:pt idx="25">
                  <c:v>122</c:v>
                </c:pt>
                <c:pt idx="26">
                  <c:v>69</c:v>
                </c:pt>
                <c:pt idx="27">
                  <c:v>147</c:v>
                </c:pt>
                <c:pt idx="28">
                  <c:v>79</c:v>
                </c:pt>
                <c:pt idx="29">
                  <c:v>129</c:v>
                </c:pt>
                <c:pt idx="30">
                  <c:v>106</c:v>
                </c:pt>
                <c:pt idx="31">
                  <c:v>103</c:v>
                </c:pt>
                <c:pt idx="32">
                  <c:v>146</c:v>
                </c:pt>
                <c:pt idx="33">
                  <c:v>148</c:v>
                </c:pt>
                <c:pt idx="34">
                  <c:v>139</c:v>
                </c:pt>
                <c:pt idx="35">
                  <c:v>173</c:v>
                </c:pt>
                <c:pt idx="36">
                  <c:v>145</c:v>
                </c:pt>
                <c:pt idx="37">
                  <c:v>107</c:v>
                </c:pt>
                <c:pt idx="38">
                  <c:v>163</c:v>
                </c:pt>
                <c:pt idx="3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B-47F6-8D74-D0C24698E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2528271"/>
        <c:axId val="942519631"/>
      </c:lineChart>
      <c:catAx>
        <c:axId val="9425282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19631"/>
        <c:crosses val="autoZero"/>
        <c:auto val="1"/>
        <c:lblAlgn val="ctr"/>
        <c:lblOffset val="100"/>
        <c:noMultiLvlLbl val="0"/>
      </c:catAx>
      <c:valAx>
        <c:axId val="9425196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52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[Predictive_Analytics_Historical_Data.xlsx]Revenue 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'Revenue Analysis'!$A$4:$A$9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'Revenue Analysis'!$B$4:$B$9</c:f>
              <c:numCache>
                <c:formatCode>General</c:formatCode>
                <c:ptCount val="5"/>
                <c:pt idx="0">
                  <c:v>125983</c:v>
                </c:pt>
                <c:pt idx="1">
                  <c:v>58382</c:v>
                </c:pt>
                <c:pt idx="2">
                  <c:v>171885</c:v>
                </c:pt>
                <c:pt idx="3">
                  <c:v>65864</c:v>
                </c:pt>
                <c:pt idx="4">
                  <c:v>92919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9-4034-9D6E-752024C22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5364655"/>
        <c:axId val="1155370415"/>
      </c:barChart>
      <c:catAx>
        <c:axId val="115536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70415"/>
        <c:crosses val="autoZero"/>
        <c:auto val="1"/>
        <c:lblAlgn val="ctr"/>
        <c:lblOffset val="100"/>
        <c:noMultiLvlLbl val="0"/>
      </c:catAx>
      <c:valAx>
        <c:axId val="11553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[Predictive_Analytics_Historical_Data.xlsx]Profit Distribution!PivotTable3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'Profit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ADD-4260-8FE5-3913DFCB03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ADD-4260-8FE5-3913DFCB03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ADD-4260-8FE5-3913DFCB03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ADD-4260-8FE5-3913DFCB03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ADD-4260-8FE5-3913DFCB03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ADD-4260-8FE5-3913DFCB03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 Distribution'!$A$4:$A$9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'Profit Distribution'!$B$4:$B$9</c:f>
              <c:numCache>
                <c:formatCode>General</c:formatCode>
                <c:ptCount val="5"/>
                <c:pt idx="0">
                  <c:v>29620</c:v>
                </c:pt>
                <c:pt idx="1">
                  <c:v>13738</c:v>
                </c:pt>
                <c:pt idx="2">
                  <c:v>41617</c:v>
                </c:pt>
                <c:pt idx="3">
                  <c:v>17259</c:v>
                </c:pt>
                <c:pt idx="4">
                  <c:v>23410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DD-4260-8FE5-3913DFCB033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587375</xdr:colOff>
      <xdr:row>2</xdr:row>
      <xdr:rowOff>44450</xdr:rowOff>
    </xdr:from>
    <xdr:to>
      <xdr:col>10</xdr:col>
      <xdr:colOff>282575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653E2-F5FE-1895-1FB8-BAB5A7EF1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1</xdr:row>
      <xdr:rowOff>146050</xdr:rowOff>
    </xdr:from>
    <xdr:to>
      <xdr:col>9</xdr:col>
      <xdr:colOff>565150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AA7C2-A954-A798-67EF-DBC456DE1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12700</xdr:rowOff>
    </xdr:from>
    <xdr:to>
      <xdr:col>10</xdr:col>
      <xdr:colOff>323850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EF7CA-23C7-4F30-9277-49B4B751D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5</xdr:row>
      <xdr:rowOff>6350</xdr:rowOff>
    </xdr:from>
    <xdr:to>
      <xdr:col>3</xdr:col>
      <xdr:colOff>1625600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5A7E0-7172-4E2B-AC44-5AAF4392E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1917700</xdr:colOff>
      <xdr:row>5</xdr:row>
      <xdr:rowOff>19050</xdr:rowOff>
    </xdr:from>
    <xdr:to>
      <xdr:col>9</xdr:col>
      <xdr:colOff>101600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5FA4E1-2A4F-4004-B5EA-AE06736DB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1523041</xdr:colOff>
      <xdr:row>17</xdr:row>
      <xdr:rowOff>222010</xdr:rowOff>
    </xdr:from>
    <xdr:to>
      <xdr:col>5</xdr:col>
      <xdr:colOff>364466</xdr:colOff>
      <xdr:row>29</xdr:row>
      <xdr:rowOff>141137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AE9E65-1B3A-4F74-8F77-C66A147EC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ethi" refreshedDate="46182.631435648145" createdVersion="8" refreshedVersion="8" minRefreshableVersion="3" recordCount="40" xr:uid="{98707253-4860-4D35-98A8-B4CD9D1C7E62}">
  <cacheSource type="worksheet">
    <worksheetSource ref="A1:G41" sheet="Historical Data"/>
  </cacheSource>
  <cacheFields count="7">
    <cacheField name="Date" numFmtId="0">
      <sharedItems count="40">
        <s v="2026-01-01"/>
        <s v="2026-01-04"/>
        <s v="2026-01-07"/>
        <s v="2026-01-10"/>
        <s v="2026-01-13"/>
        <s v="2026-01-16"/>
        <s v="2026-01-19"/>
        <s v="2026-01-22"/>
        <s v="2026-01-25"/>
        <s v="2026-01-28"/>
        <s v="2026-01-31"/>
        <s v="2026-02-03"/>
        <s v="2026-02-06"/>
        <s v="2026-02-09"/>
        <s v="2026-02-12"/>
        <s v="2026-02-15"/>
        <s v="2026-02-18"/>
        <s v="2026-02-21"/>
        <s v="2026-02-24"/>
        <s v="2026-02-27"/>
        <s v="2026-03-02"/>
        <s v="2026-03-05"/>
        <s v="2026-03-08"/>
        <s v="2026-03-11"/>
        <s v="2026-03-14"/>
        <s v="2026-03-17"/>
        <s v="2026-03-20"/>
        <s v="2026-03-23"/>
        <s v="2026-03-26"/>
        <s v="2026-03-29"/>
        <s v="2026-04-01"/>
        <s v="2026-04-04"/>
        <s v="2026-04-07"/>
        <s v="2026-04-10"/>
        <s v="2026-04-13"/>
        <s v="2026-04-16"/>
        <s v="2026-04-19"/>
        <s v="2026-04-22"/>
        <s v="2026-04-25"/>
        <s v="2026-04-28"/>
      </sharedItems>
    </cacheField>
    <cacheField name="Month" numFmtId="0">
      <sharedItems/>
    </cacheField>
    <cacheField name="Product" numFmtId="0">
      <sharedItems count="5">
        <s v="Headphones"/>
        <s v="Smartwatch"/>
        <s v="Tablet"/>
        <s v="Phone"/>
        <s v="Laptop"/>
      </sharedItems>
    </cacheField>
    <cacheField name="Sales_Units" numFmtId="0">
      <sharedItems containsSemiMixedTypes="0" containsString="0" containsNumber="1" containsInteger="1" minValue="48" maxValue="177"/>
    </cacheField>
    <cacheField name="Revenue" numFmtId="0">
      <sharedItems containsSemiMixedTypes="0" containsString="0" containsNumber="1" containsInteger="1" minValue="5712" maxValue="26224"/>
    </cacheField>
    <cacheField name="Profit" numFmtId="0">
      <sharedItems containsSemiMixedTypes="0" containsString="0" containsNumber="1" containsInteger="1" minValue="1396" maxValue="4911"/>
    </cacheField>
    <cacheField name="Forecast_Sales" numFmtId="0">
      <sharedItems containsSemiMixedTypes="0" containsString="0" containsNumber="1" containsInteger="1" minValue="51" maxValue="2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s v="Jan"/>
    <x v="0"/>
    <n v="128"/>
    <n v="18048"/>
    <n v="3138"/>
    <n v="131"/>
  </r>
  <r>
    <x v="1"/>
    <s v="Jan"/>
    <x v="1"/>
    <n v="72"/>
    <n v="8640"/>
    <n v="2064"/>
    <n v="79"/>
  </r>
  <r>
    <x v="2"/>
    <s v="Jan"/>
    <x v="0"/>
    <n v="87"/>
    <n v="8874"/>
    <n v="1522"/>
    <n v="90"/>
  </r>
  <r>
    <x v="3"/>
    <s v="Jan"/>
    <x v="2"/>
    <n v="78"/>
    <n v="11154"/>
    <n v="2781"/>
    <n v="86"/>
  </r>
  <r>
    <x v="4"/>
    <s v="Jan"/>
    <x v="3"/>
    <n v="57"/>
    <n v="6555"/>
    <n v="2012"/>
    <n v="60"/>
  </r>
  <r>
    <x v="5"/>
    <s v="Jan"/>
    <x v="3"/>
    <n v="176"/>
    <n v="26224"/>
    <n v="4782"/>
    <n v="197"/>
  </r>
  <r>
    <x v="6"/>
    <s v="Jan"/>
    <x v="0"/>
    <n v="96"/>
    <n v="13056"/>
    <n v="2280"/>
    <n v="107"/>
  </r>
  <r>
    <x v="7"/>
    <s v="Jan"/>
    <x v="1"/>
    <n v="72"/>
    <n v="7344"/>
    <n v="1396"/>
    <n v="74"/>
  </r>
  <r>
    <x v="8"/>
    <s v="Jan"/>
    <x v="2"/>
    <n v="112"/>
    <n v="12768"/>
    <n v="2592"/>
    <n v="124"/>
  </r>
  <r>
    <x v="9"/>
    <s v="Jan"/>
    <x v="2"/>
    <n v="51"/>
    <n v="5814"/>
    <n v="1643"/>
    <n v="58"/>
  </r>
  <r>
    <x v="10"/>
    <s v="Jan"/>
    <x v="3"/>
    <n v="128"/>
    <n v="10880"/>
    <n v="2172"/>
    <n v="142"/>
  </r>
  <r>
    <x v="11"/>
    <s v="Feb"/>
    <x v="0"/>
    <n v="120"/>
    <n v="15360"/>
    <n v="4760"/>
    <n v="127"/>
  </r>
  <r>
    <x v="12"/>
    <s v="Feb"/>
    <x v="0"/>
    <n v="77"/>
    <n v="9702"/>
    <n v="2151"/>
    <n v="85"/>
  </r>
  <r>
    <x v="13"/>
    <s v="Feb"/>
    <x v="3"/>
    <n v="120"/>
    <n v="11400"/>
    <n v="3165"/>
    <n v="137"/>
  </r>
  <r>
    <x v="14"/>
    <s v="Feb"/>
    <x v="3"/>
    <n v="155"/>
    <n v="15035"/>
    <n v="4079"/>
    <n v="182"/>
  </r>
  <r>
    <x v="15"/>
    <s v="Feb"/>
    <x v="0"/>
    <n v="158"/>
    <n v="16590"/>
    <n v="4654"/>
    <n v="166"/>
  </r>
  <r>
    <x v="16"/>
    <s v="Feb"/>
    <x v="4"/>
    <n v="63"/>
    <n v="9009"/>
    <n v="2386"/>
    <n v="73"/>
  </r>
  <r>
    <x v="17"/>
    <s v="Feb"/>
    <x v="1"/>
    <n v="48"/>
    <n v="5712"/>
    <n v="1813"/>
    <n v="51"/>
  </r>
  <r>
    <x v="18"/>
    <s v="Feb"/>
    <x v="3"/>
    <n v="177"/>
    <n v="21240"/>
    <n v="4457"/>
    <n v="203"/>
  </r>
  <r>
    <x v="19"/>
    <s v="Feb"/>
    <x v="2"/>
    <n v="64"/>
    <n v="9280"/>
    <n v="1807"/>
    <n v="71"/>
  </r>
  <r>
    <x v="20"/>
    <s v="Mar"/>
    <x v="2"/>
    <n v="163"/>
    <n v="13040"/>
    <n v="4061"/>
    <n v="183"/>
  </r>
  <r>
    <x v="21"/>
    <s v="Mar"/>
    <x v="4"/>
    <n v="115"/>
    <n v="9200"/>
    <n v="2754"/>
    <n v="124"/>
  </r>
  <r>
    <x v="22"/>
    <s v="Mar"/>
    <x v="3"/>
    <n v="165"/>
    <n v="17490"/>
    <n v="4088"/>
    <n v="191"/>
  </r>
  <r>
    <x v="23"/>
    <s v="Mar"/>
    <x v="4"/>
    <n v="71"/>
    <n v="7952"/>
    <n v="1701"/>
    <n v="79"/>
  </r>
  <r>
    <x v="24"/>
    <s v="Mar"/>
    <x v="0"/>
    <n v="117"/>
    <n v="13221"/>
    <n v="2889"/>
    <n v="124"/>
  </r>
  <r>
    <x v="25"/>
    <s v="Mar"/>
    <x v="2"/>
    <n v="122"/>
    <n v="15860"/>
    <n v="4911"/>
    <n v="143"/>
  </r>
  <r>
    <x v="26"/>
    <s v="Mar"/>
    <x v="2"/>
    <n v="69"/>
    <n v="8763"/>
    <n v="2377"/>
    <n v="71"/>
  </r>
  <r>
    <x v="27"/>
    <s v="Mar"/>
    <x v="4"/>
    <n v="147"/>
    <n v="18081"/>
    <n v="2752"/>
    <n v="166"/>
  </r>
  <r>
    <x v="28"/>
    <s v="Mar"/>
    <x v="3"/>
    <n v="79"/>
    <n v="9322"/>
    <n v="3087"/>
    <n v="86"/>
  </r>
  <r>
    <x v="29"/>
    <s v="Mar"/>
    <x v="3"/>
    <n v="129"/>
    <n v="13287"/>
    <n v="2599"/>
    <n v="147"/>
  </r>
  <r>
    <x v="30"/>
    <s v="Apr"/>
    <x v="1"/>
    <n v="106"/>
    <n v="13674"/>
    <n v="3905"/>
    <n v="112"/>
  </r>
  <r>
    <x v="31"/>
    <s v="Apr"/>
    <x v="3"/>
    <n v="103"/>
    <n v="11227"/>
    <n v="3602"/>
    <n v="111"/>
  </r>
  <r>
    <x v="32"/>
    <s v="Apr"/>
    <x v="1"/>
    <n v="146"/>
    <n v="12702"/>
    <n v="3669"/>
    <n v="165"/>
  </r>
  <r>
    <x v="33"/>
    <s v="Apr"/>
    <x v="0"/>
    <n v="148"/>
    <n v="12876"/>
    <n v="4059"/>
    <n v="150"/>
  </r>
  <r>
    <x v="34"/>
    <s v="Apr"/>
    <x v="1"/>
    <n v="139"/>
    <n v="17792"/>
    <n v="4412"/>
    <n v="163"/>
  </r>
  <r>
    <x v="35"/>
    <s v="Apr"/>
    <x v="3"/>
    <n v="173"/>
    <n v="15743"/>
    <n v="3066"/>
    <n v="192"/>
  </r>
  <r>
    <x v="36"/>
    <s v="Apr"/>
    <x v="2"/>
    <n v="145"/>
    <n v="16240"/>
    <n v="3238"/>
    <n v="163"/>
  </r>
  <r>
    <x v="37"/>
    <s v="Apr"/>
    <x v="3"/>
    <n v="107"/>
    <n v="13482"/>
    <n v="4508"/>
    <n v="123"/>
  </r>
  <r>
    <x v="38"/>
    <s v="Apr"/>
    <x v="0"/>
    <n v="163"/>
    <n v="18256"/>
    <n v="4167"/>
    <n v="177"/>
  </r>
  <r>
    <x v="39"/>
    <s v="Apr"/>
    <x v="4"/>
    <n v="101"/>
    <n v="14140"/>
    <n v="4145"/>
    <n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13232-7676-470A-9EF1-93690DB5145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44" firstHeaderRow="1" firstDataRow="1" firstDataCol="1"/>
  <pivotFields count="7"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Sales_Unit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2C358-CF19-4297-863F-CE64667D096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7"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4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03887-9B98-4C07-A8C0-E3CCB5B45EE5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9" firstHeaderRow="1" firstDataRow="1" firstDataCol="1"/>
  <pivotFields count="7"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5" baseField="0" baseItem="0"/>
  </dataFields>
  <chartFormats count="7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3028-FF79-4CB5-8080-BF6C1B262AF9}">
  <dimension ref="A3:B44"/>
  <sheetViews>
    <sheetView workbookViewId="0">
      <selection activeCell="I20" sqref="I20"/>
    </sheetView>
  </sheetViews>
  <sheetFormatPr defaultRowHeight="14.5" x14ac:dyDescent="0.35"/>
  <cols>
    <col min="1" max="1" width="12.36328125" bestFit="1" customWidth="1"/>
    <col min="2" max="2" width="16.7265625" bestFit="1" customWidth="1"/>
  </cols>
  <sheetData>
    <row r="3" spans="1:2" x14ac:dyDescent="0.35">
      <c r="A3" s="8" t="s">
        <v>60</v>
      </c>
      <c r="B3" t="s">
        <v>62</v>
      </c>
    </row>
    <row r="4" spans="1:2" x14ac:dyDescent="0.35">
      <c r="A4" s="9" t="s">
        <v>7</v>
      </c>
      <c r="B4" s="10">
        <v>128</v>
      </c>
    </row>
    <row r="5" spans="1:2" x14ac:dyDescent="0.35">
      <c r="A5" s="9" t="s">
        <v>10</v>
      </c>
      <c r="B5" s="10">
        <v>72</v>
      </c>
    </row>
    <row r="6" spans="1:2" x14ac:dyDescent="0.35">
      <c r="A6" s="9" t="s">
        <v>12</v>
      </c>
      <c r="B6" s="10">
        <v>87</v>
      </c>
    </row>
    <row r="7" spans="1:2" x14ac:dyDescent="0.35">
      <c r="A7" s="9" t="s">
        <v>13</v>
      </c>
      <c r="B7" s="10">
        <v>78</v>
      </c>
    </row>
    <row r="8" spans="1:2" x14ac:dyDescent="0.35">
      <c r="A8" s="9" t="s">
        <v>15</v>
      </c>
      <c r="B8" s="10">
        <v>57</v>
      </c>
    </row>
    <row r="9" spans="1:2" x14ac:dyDescent="0.35">
      <c r="A9" s="9" t="s">
        <v>17</v>
      </c>
      <c r="B9" s="10">
        <v>176</v>
      </c>
    </row>
    <row r="10" spans="1:2" x14ac:dyDescent="0.35">
      <c r="A10" s="9" t="s">
        <v>18</v>
      </c>
      <c r="B10" s="10">
        <v>96</v>
      </c>
    </row>
    <row r="11" spans="1:2" x14ac:dyDescent="0.35">
      <c r="A11" s="9" t="s">
        <v>19</v>
      </c>
      <c r="B11" s="10">
        <v>72</v>
      </c>
    </row>
    <row r="12" spans="1:2" x14ac:dyDescent="0.35">
      <c r="A12" s="9" t="s">
        <v>20</v>
      </c>
      <c r="B12" s="10">
        <v>112</v>
      </c>
    </row>
    <row r="13" spans="1:2" x14ac:dyDescent="0.35">
      <c r="A13" s="9" t="s">
        <v>21</v>
      </c>
      <c r="B13" s="10">
        <v>51</v>
      </c>
    </row>
    <row r="14" spans="1:2" x14ac:dyDescent="0.35">
      <c r="A14" s="9" t="s">
        <v>22</v>
      </c>
      <c r="B14" s="10">
        <v>128</v>
      </c>
    </row>
    <row r="15" spans="1:2" x14ac:dyDescent="0.35">
      <c r="A15" s="9" t="s">
        <v>23</v>
      </c>
      <c r="B15" s="10">
        <v>120</v>
      </c>
    </row>
    <row r="16" spans="1:2" x14ac:dyDescent="0.35">
      <c r="A16" s="9" t="s">
        <v>25</v>
      </c>
      <c r="B16" s="10">
        <v>77</v>
      </c>
    </row>
    <row r="17" spans="1:2" x14ac:dyDescent="0.35">
      <c r="A17" s="9" t="s">
        <v>26</v>
      </c>
      <c r="B17" s="10">
        <v>120</v>
      </c>
    </row>
    <row r="18" spans="1:2" x14ac:dyDescent="0.35">
      <c r="A18" s="9" t="s">
        <v>27</v>
      </c>
      <c r="B18" s="10">
        <v>155</v>
      </c>
    </row>
    <row r="19" spans="1:2" x14ac:dyDescent="0.35">
      <c r="A19" s="9" t="s">
        <v>28</v>
      </c>
      <c r="B19" s="10">
        <v>158</v>
      </c>
    </row>
    <row r="20" spans="1:2" x14ac:dyDescent="0.35">
      <c r="A20" s="9" t="s">
        <v>29</v>
      </c>
      <c r="B20" s="10">
        <v>63</v>
      </c>
    </row>
    <row r="21" spans="1:2" x14ac:dyDescent="0.35">
      <c r="A21" s="9" t="s">
        <v>31</v>
      </c>
      <c r="B21" s="10">
        <v>48</v>
      </c>
    </row>
    <row r="22" spans="1:2" x14ac:dyDescent="0.35">
      <c r="A22" s="9" t="s">
        <v>32</v>
      </c>
      <c r="B22" s="10">
        <v>177</v>
      </c>
    </row>
    <row r="23" spans="1:2" x14ac:dyDescent="0.35">
      <c r="A23" s="9" t="s">
        <v>33</v>
      </c>
      <c r="B23" s="10">
        <v>64</v>
      </c>
    </row>
    <row r="24" spans="1:2" x14ac:dyDescent="0.35">
      <c r="A24" s="9" t="s">
        <v>34</v>
      </c>
      <c r="B24" s="10">
        <v>163</v>
      </c>
    </row>
    <row r="25" spans="1:2" x14ac:dyDescent="0.35">
      <c r="A25" s="9" t="s">
        <v>36</v>
      </c>
      <c r="B25" s="10">
        <v>115</v>
      </c>
    </row>
    <row r="26" spans="1:2" x14ac:dyDescent="0.35">
      <c r="A26" s="9" t="s">
        <v>37</v>
      </c>
      <c r="B26" s="10">
        <v>165</v>
      </c>
    </row>
    <row r="27" spans="1:2" x14ac:dyDescent="0.35">
      <c r="A27" s="9" t="s">
        <v>38</v>
      </c>
      <c r="B27" s="10">
        <v>71</v>
      </c>
    </row>
    <row r="28" spans="1:2" x14ac:dyDescent="0.35">
      <c r="A28" s="9" t="s">
        <v>39</v>
      </c>
      <c r="B28" s="10">
        <v>117</v>
      </c>
    </row>
    <row r="29" spans="1:2" x14ac:dyDescent="0.35">
      <c r="A29" s="9" t="s">
        <v>40</v>
      </c>
      <c r="B29" s="10">
        <v>122</v>
      </c>
    </row>
    <row r="30" spans="1:2" x14ac:dyDescent="0.35">
      <c r="A30" s="9" t="s">
        <v>41</v>
      </c>
      <c r="B30" s="10">
        <v>69</v>
      </c>
    </row>
    <row r="31" spans="1:2" x14ac:dyDescent="0.35">
      <c r="A31" s="9" t="s">
        <v>42</v>
      </c>
      <c r="B31" s="10">
        <v>147</v>
      </c>
    </row>
    <row r="32" spans="1:2" x14ac:dyDescent="0.35">
      <c r="A32" s="9" t="s">
        <v>43</v>
      </c>
      <c r="B32" s="10">
        <v>79</v>
      </c>
    </row>
    <row r="33" spans="1:2" x14ac:dyDescent="0.35">
      <c r="A33" s="9" t="s">
        <v>44</v>
      </c>
      <c r="B33" s="10">
        <v>129</v>
      </c>
    </row>
    <row r="34" spans="1:2" x14ac:dyDescent="0.35">
      <c r="A34" s="9" t="s">
        <v>45</v>
      </c>
      <c r="B34" s="10">
        <v>106</v>
      </c>
    </row>
    <row r="35" spans="1:2" x14ac:dyDescent="0.35">
      <c r="A35" s="9" t="s">
        <v>47</v>
      </c>
      <c r="B35" s="10">
        <v>103</v>
      </c>
    </row>
    <row r="36" spans="1:2" x14ac:dyDescent="0.35">
      <c r="A36" s="9" t="s">
        <v>48</v>
      </c>
      <c r="B36" s="10">
        <v>146</v>
      </c>
    </row>
    <row r="37" spans="1:2" x14ac:dyDescent="0.35">
      <c r="A37" s="9" t="s">
        <v>49</v>
      </c>
      <c r="B37" s="10">
        <v>148</v>
      </c>
    </row>
    <row r="38" spans="1:2" x14ac:dyDescent="0.35">
      <c r="A38" s="9" t="s">
        <v>50</v>
      </c>
      <c r="B38" s="10">
        <v>139</v>
      </c>
    </row>
    <row r="39" spans="1:2" x14ac:dyDescent="0.35">
      <c r="A39" s="9" t="s">
        <v>51</v>
      </c>
      <c r="B39" s="10">
        <v>173</v>
      </c>
    </row>
    <row r="40" spans="1:2" x14ac:dyDescent="0.35">
      <c r="A40" s="9" t="s">
        <v>52</v>
      </c>
      <c r="B40" s="10">
        <v>145</v>
      </c>
    </row>
    <row r="41" spans="1:2" x14ac:dyDescent="0.35">
      <c r="A41" s="9" t="s">
        <v>53</v>
      </c>
      <c r="B41" s="10">
        <v>107</v>
      </c>
    </row>
    <row r="42" spans="1:2" x14ac:dyDescent="0.35">
      <c r="A42" s="9" t="s">
        <v>54</v>
      </c>
      <c r="B42" s="10">
        <v>163</v>
      </c>
    </row>
    <row r="43" spans="1:2" x14ac:dyDescent="0.35">
      <c r="A43" s="9" t="s">
        <v>55</v>
      </c>
      <c r="B43" s="10">
        <v>101</v>
      </c>
    </row>
    <row r="44" spans="1:2" x14ac:dyDescent="0.35">
      <c r="A44" s="9" t="s">
        <v>61</v>
      </c>
      <c r="B44" s="10">
        <v>4547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0A89-7770-4CC1-B0BD-3BA92784E8E7}">
  <dimension ref="A3:B9"/>
  <sheetViews>
    <sheetView workbookViewId="0">
      <selection activeCell="N4" sqref="N4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8" t="s">
        <v>60</v>
      </c>
      <c r="B3" t="s">
        <v>63</v>
      </c>
    </row>
    <row r="4" spans="1:2" x14ac:dyDescent="0.35">
      <c r="A4" s="9" t="s">
        <v>9</v>
      </c>
      <c r="B4" s="10">
        <v>125983</v>
      </c>
    </row>
    <row r="5" spans="1:2" x14ac:dyDescent="0.35">
      <c r="A5" s="9" t="s">
        <v>30</v>
      </c>
      <c r="B5" s="10">
        <v>58382</v>
      </c>
    </row>
    <row r="6" spans="1:2" x14ac:dyDescent="0.35">
      <c r="A6" s="9" t="s">
        <v>16</v>
      </c>
      <c r="B6" s="10">
        <v>171885</v>
      </c>
    </row>
    <row r="7" spans="1:2" x14ac:dyDescent="0.35">
      <c r="A7" s="9" t="s">
        <v>11</v>
      </c>
      <c r="B7" s="10">
        <v>65864</v>
      </c>
    </row>
    <row r="8" spans="1:2" x14ac:dyDescent="0.35">
      <c r="A8" s="9" t="s">
        <v>14</v>
      </c>
      <c r="B8" s="10">
        <v>92919</v>
      </c>
    </row>
    <row r="9" spans="1:2" x14ac:dyDescent="0.35">
      <c r="A9" s="9" t="s">
        <v>61</v>
      </c>
      <c r="B9" s="10">
        <v>515033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A479-EF35-45CA-8283-AD823186A902}">
  <dimension ref="A3:B9"/>
  <sheetViews>
    <sheetView workbookViewId="0">
      <selection activeCell="L19" sqref="L1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8" t="s">
        <v>60</v>
      </c>
      <c r="B3" t="s">
        <v>64</v>
      </c>
    </row>
    <row r="4" spans="1:2" x14ac:dyDescent="0.35">
      <c r="A4" s="9" t="s">
        <v>9</v>
      </c>
      <c r="B4" s="10">
        <v>29620</v>
      </c>
    </row>
    <row r="5" spans="1:2" x14ac:dyDescent="0.35">
      <c r="A5" s="9" t="s">
        <v>30</v>
      </c>
      <c r="B5" s="10">
        <v>13738</v>
      </c>
    </row>
    <row r="6" spans="1:2" x14ac:dyDescent="0.35">
      <c r="A6" s="9" t="s">
        <v>16</v>
      </c>
      <c r="B6" s="10">
        <v>41617</v>
      </c>
    </row>
    <row r="7" spans="1:2" x14ac:dyDescent="0.35">
      <c r="A7" s="9" t="s">
        <v>11</v>
      </c>
      <c r="B7" s="10">
        <v>17259</v>
      </c>
    </row>
    <row r="8" spans="1:2" x14ac:dyDescent="0.35">
      <c r="A8" s="9" t="s">
        <v>14</v>
      </c>
      <c r="B8" s="10">
        <v>23410</v>
      </c>
    </row>
    <row r="9" spans="1:2" x14ac:dyDescent="0.35">
      <c r="A9" s="9" t="s">
        <v>61</v>
      </c>
      <c r="B9" s="10">
        <v>125644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sqref="A1:G4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128</v>
      </c>
      <c r="E2">
        <v>18048</v>
      </c>
      <c r="F2">
        <v>3138</v>
      </c>
      <c r="G2">
        <v>131</v>
      </c>
    </row>
    <row r="3" spans="1:7" x14ac:dyDescent="0.35">
      <c r="A3" t="s">
        <v>10</v>
      </c>
      <c r="B3" t="s">
        <v>8</v>
      </c>
      <c r="C3" t="s">
        <v>11</v>
      </c>
      <c r="D3">
        <v>72</v>
      </c>
      <c r="E3">
        <v>8640</v>
      </c>
      <c r="F3">
        <v>2064</v>
      </c>
      <c r="G3">
        <v>79</v>
      </c>
    </row>
    <row r="4" spans="1:7" x14ac:dyDescent="0.35">
      <c r="A4" t="s">
        <v>12</v>
      </c>
      <c r="B4" t="s">
        <v>8</v>
      </c>
      <c r="C4" t="s">
        <v>9</v>
      </c>
      <c r="D4">
        <v>87</v>
      </c>
      <c r="E4">
        <v>8874</v>
      </c>
      <c r="F4">
        <v>1522</v>
      </c>
      <c r="G4">
        <v>90</v>
      </c>
    </row>
    <row r="5" spans="1:7" x14ac:dyDescent="0.35">
      <c r="A5" t="s">
        <v>13</v>
      </c>
      <c r="B5" t="s">
        <v>8</v>
      </c>
      <c r="C5" t="s">
        <v>14</v>
      </c>
      <c r="D5">
        <v>78</v>
      </c>
      <c r="E5">
        <v>11154</v>
      </c>
      <c r="F5">
        <v>2781</v>
      </c>
      <c r="G5">
        <v>86</v>
      </c>
    </row>
    <row r="6" spans="1:7" x14ac:dyDescent="0.35">
      <c r="A6" t="s">
        <v>15</v>
      </c>
      <c r="B6" t="s">
        <v>8</v>
      </c>
      <c r="C6" t="s">
        <v>16</v>
      </c>
      <c r="D6">
        <v>57</v>
      </c>
      <c r="E6">
        <v>6555</v>
      </c>
      <c r="F6">
        <v>2012</v>
      </c>
      <c r="G6">
        <v>60</v>
      </c>
    </row>
    <row r="7" spans="1:7" x14ac:dyDescent="0.35">
      <c r="A7" t="s">
        <v>17</v>
      </c>
      <c r="B7" t="s">
        <v>8</v>
      </c>
      <c r="C7" t="s">
        <v>16</v>
      </c>
      <c r="D7">
        <v>176</v>
      </c>
      <c r="E7">
        <v>26224</v>
      </c>
      <c r="F7">
        <v>4782</v>
      </c>
      <c r="G7">
        <v>197</v>
      </c>
    </row>
    <row r="8" spans="1:7" x14ac:dyDescent="0.35">
      <c r="A8" t="s">
        <v>18</v>
      </c>
      <c r="B8" t="s">
        <v>8</v>
      </c>
      <c r="C8" t="s">
        <v>9</v>
      </c>
      <c r="D8">
        <v>96</v>
      </c>
      <c r="E8">
        <v>13056</v>
      </c>
      <c r="F8">
        <v>2280</v>
      </c>
      <c r="G8">
        <v>107</v>
      </c>
    </row>
    <row r="9" spans="1:7" x14ac:dyDescent="0.35">
      <c r="A9" t="s">
        <v>19</v>
      </c>
      <c r="B9" t="s">
        <v>8</v>
      </c>
      <c r="C9" t="s">
        <v>11</v>
      </c>
      <c r="D9">
        <v>72</v>
      </c>
      <c r="E9">
        <v>7344</v>
      </c>
      <c r="F9">
        <v>1396</v>
      </c>
      <c r="G9">
        <v>74</v>
      </c>
    </row>
    <row r="10" spans="1:7" x14ac:dyDescent="0.35">
      <c r="A10" t="s">
        <v>20</v>
      </c>
      <c r="B10" t="s">
        <v>8</v>
      </c>
      <c r="C10" t="s">
        <v>14</v>
      </c>
      <c r="D10">
        <v>112</v>
      </c>
      <c r="E10">
        <v>12768</v>
      </c>
      <c r="F10">
        <v>2592</v>
      </c>
      <c r="G10">
        <v>124</v>
      </c>
    </row>
    <row r="11" spans="1:7" x14ac:dyDescent="0.35">
      <c r="A11" t="s">
        <v>21</v>
      </c>
      <c r="B11" t="s">
        <v>8</v>
      </c>
      <c r="C11" t="s">
        <v>14</v>
      </c>
      <c r="D11">
        <v>51</v>
      </c>
      <c r="E11">
        <v>5814</v>
      </c>
      <c r="F11">
        <v>1643</v>
      </c>
      <c r="G11">
        <v>58</v>
      </c>
    </row>
    <row r="12" spans="1:7" x14ac:dyDescent="0.35">
      <c r="A12" t="s">
        <v>22</v>
      </c>
      <c r="B12" t="s">
        <v>8</v>
      </c>
      <c r="C12" t="s">
        <v>16</v>
      </c>
      <c r="D12">
        <v>128</v>
      </c>
      <c r="E12">
        <v>10880</v>
      </c>
      <c r="F12">
        <v>2172</v>
      </c>
      <c r="G12">
        <v>142</v>
      </c>
    </row>
    <row r="13" spans="1:7" x14ac:dyDescent="0.35">
      <c r="A13" t="s">
        <v>23</v>
      </c>
      <c r="B13" t="s">
        <v>24</v>
      </c>
      <c r="C13" t="s">
        <v>9</v>
      </c>
      <c r="D13">
        <v>120</v>
      </c>
      <c r="E13">
        <v>15360</v>
      </c>
      <c r="F13">
        <v>4760</v>
      </c>
      <c r="G13">
        <v>127</v>
      </c>
    </row>
    <row r="14" spans="1:7" x14ac:dyDescent="0.35">
      <c r="A14" t="s">
        <v>25</v>
      </c>
      <c r="B14" t="s">
        <v>24</v>
      </c>
      <c r="C14" t="s">
        <v>9</v>
      </c>
      <c r="D14">
        <v>77</v>
      </c>
      <c r="E14">
        <v>9702</v>
      </c>
      <c r="F14">
        <v>2151</v>
      </c>
      <c r="G14">
        <v>85</v>
      </c>
    </row>
    <row r="15" spans="1:7" x14ac:dyDescent="0.35">
      <c r="A15" t="s">
        <v>26</v>
      </c>
      <c r="B15" t="s">
        <v>24</v>
      </c>
      <c r="C15" t="s">
        <v>16</v>
      </c>
      <c r="D15">
        <v>120</v>
      </c>
      <c r="E15">
        <v>11400</v>
      </c>
      <c r="F15">
        <v>3165</v>
      </c>
      <c r="G15">
        <v>137</v>
      </c>
    </row>
    <row r="16" spans="1:7" x14ac:dyDescent="0.35">
      <c r="A16" t="s">
        <v>27</v>
      </c>
      <c r="B16" t="s">
        <v>24</v>
      </c>
      <c r="C16" t="s">
        <v>16</v>
      </c>
      <c r="D16">
        <v>155</v>
      </c>
      <c r="E16">
        <v>15035</v>
      </c>
      <c r="F16">
        <v>4079</v>
      </c>
      <c r="G16">
        <v>182</v>
      </c>
    </row>
    <row r="17" spans="1:7" x14ac:dyDescent="0.35">
      <c r="A17" t="s">
        <v>28</v>
      </c>
      <c r="B17" t="s">
        <v>24</v>
      </c>
      <c r="C17" t="s">
        <v>9</v>
      </c>
      <c r="D17">
        <v>158</v>
      </c>
      <c r="E17">
        <v>16590</v>
      </c>
      <c r="F17">
        <v>4654</v>
      </c>
      <c r="G17">
        <v>166</v>
      </c>
    </row>
    <row r="18" spans="1:7" x14ac:dyDescent="0.35">
      <c r="A18" t="s">
        <v>29</v>
      </c>
      <c r="B18" t="s">
        <v>24</v>
      </c>
      <c r="C18" t="s">
        <v>30</v>
      </c>
      <c r="D18">
        <v>63</v>
      </c>
      <c r="E18">
        <v>9009</v>
      </c>
      <c r="F18">
        <v>2386</v>
      </c>
      <c r="G18">
        <v>73</v>
      </c>
    </row>
    <row r="19" spans="1:7" x14ac:dyDescent="0.35">
      <c r="A19" t="s">
        <v>31</v>
      </c>
      <c r="B19" t="s">
        <v>24</v>
      </c>
      <c r="C19" t="s">
        <v>11</v>
      </c>
      <c r="D19">
        <v>48</v>
      </c>
      <c r="E19">
        <v>5712</v>
      </c>
      <c r="F19">
        <v>1813</v>
      </c>
      <c r="G19">
        <v>51</v>
      </c>
    </row>
    <row r="20" spans="1:7" x14ac:dyDescent="0.35">
      <c r="A20" t="s">
        <v>32</v>
      </c>
      <c r="B20" t="s">
        <v>24</v>
      </c>
      <c r="C20" t="s">
        <v>16</v>
      </c>
      <c r="D20">
        <v>177</v>
      </c>
      <c r="E20">
        <v>21240</v>
      </c>
      <c r="F20">
        <v>4457</v>
      </c>
      <c r="G20">
        <v>203</v>
      </c>
    </row>
    <row r="21" spans="1:7" x14ac:dyDescent="0.35">
      <c r="A21" t="s">
        <v>33</v>
      </c>
      <c r="B21" t="s">
        <v>24</v>
      </c>
      <c r="C21" t="s">
        <v>14</v>
      </c>
      <c r="D21">
        <v>64</v>
      </c>
      <c r="E21">
        <v>9280</v>
      </c>
      <c r="F21">
        <v>1807</v>
      </c>
      <c r="G21">
        <v>71</v>
      </c>
    </row>
    <row r="22" spans="1:7" x14ac:dyDescent="0.35">
      <c r="A22" t="s">
        <v>34</v>
      </c>
      <c r="B22" t="s">
        <v>35</v>
      </c>
      <c r="C22" t="s">
        <v>14</v>
      </c>
      <c r="D22">
        <v>163</v>
      </c>
      <c r="E22">
        <v>13040</v>
      </c>
      <c r="F22">
        <v>4061</v>
      </c>
      <c r="G22">
        <v>183</v>
      </c>
    </row>
    <row r="23" spans="1:7" x14ac:dyDescent="0.35">
      <c r="A23" t="s">
        <v>36</v>
      </c>
      <c r="B23" t="s">
        <v>35</v>
      </c>
      <c r="C23" t="s">
        <v>30</v>
      </c>
      <c r="D23">
        <v>115</v>
      </c>
      <c r="E23">
        <v>9200</v>
      </c>
      <c r="F23">
        <v>2754</v>
      </c>
      <c r="G23">
        <v>124</v>
      </c>
    </row>
    <row r="24" spans="1:7" x14ac:dyDescent="0.35">
      <c r="A24" t="s">
        <v>37</v>
      </c>
      <c r="B24" t="s">
        <v>35</v>
      </c>
      <c r="C24" t="s">
        <v>16</v>
      </c>
      <c r="D24">
        <v>165</v>
      </c>
      <c r="E24">
        <v>17490</v>
      </c>
      <c r="F24">
        <v>4088</v>
      </c>
      <c r="G24">
        <v>191</v>
      </c>
    </row>
    <row r="25" spans="1:7" x14ac:dyDescent="0.35">
      <c r="A25" t="s">
        <v>38</v>
      </c>
      <c r="B25" t="s">
        <v>35</v>
      </c>
      <c r="C25" t="s">
        <v>30</v>
      </c>
      <c r="D25">
        <v>71</v>
      </c>
      <c r="E25">
        <v>7952</v>
      </c>
      <c r="F25">
        <v>1701</v>
      </c>
      <c r="G25">
        <v>79</v>
      </c>
    </row>
    <row r="26" spans="1:7" x14ac:dyDescent="0.35">
      <c r="A26" t="s">
        <v>39</v>
      </c>
      <c r="B26" t="s">
        <v>35</v>
      </c>
      <c r="C26" t="s">
        <v>9</v>
      </c>
      <c r="D26">
        <v>117</v>
      </c>
      <c r="E26">
        <v>13221</v>
      </c>
      <c r="F26">
        <v>2889</v>
      </c>
      <c r="G26">
        <v>124</v>
      </c>
    </row>
    <row r="27" spans="1:7" x14ac:dyDescent="0.35">
      <c r="A27" t="s">
        <v>40</v>
      </c>
      <c r="B27" t="s">
        <v>35</v>
      </c>
      <c r="C27" t="s">
        <v>14</v>
      </c>
      <c r="D27">
        <v>122</v>
      </c>
      <c r="E27">
        <v>15860</v>
      </c>
      <c r="F27">
        <v>4911</v>
      </c>
      <c r="G27">
        <v>143</v>
      </c>
    </row>
    <row r="28" spans="1:7" x14ac:dyDescent="0.35">
      <c r="A28" t="s">
        <v>41</v>
      </c>
      <c r="B28" t="s">
        <v>35</v>
      </c>
      <c r="C28" t="s">
        <v>14</v>
      </c>
      <c r="D28">
        <v>69</v>
      </c>
      <c r="E28">
        <v>8763</v>
      </c>
      <c r="F28">
        <v>2377</v>
      </c>
      <c r="G28">
        <v>71</v>
      </c>
    </row>
    <row r="29" spans="1:7" x14ac:dyDescent="0.35">
      <c r="A29" t="s">
        <v>42</v>
      </c>
      <c r="B29" t="s">
        <v>35</v>
      </c>
      <c r="C29" t="s">
        <v>30</v>
      </c>
      <c r="D29">
        <v>147</v>
      </c>
      <c r="E29">
        <v>18081</v>
      </c>
      <c r="F29">
        <v>2752</v>
      </c>
      <c r="G29">
        <v>166</v>
      </c>
    </row>
    <row r="30" spans="1:7" x14ac:dyDescent="0.35">
      <c r="A30" t="s">
        <v>43</v>
      </c>
      <c r="B30" t="s">
        <v>35</v>
      </c>
      <c r="C30" t="s">
        <v>16</v>
      </c>
      <c r="D30">
        <v>79</v>
      </c>
      <c r="E30">
        <v>9322</v>
      </c>
      <c r="F30">
        <v>3087</v>
      </c>
      <c r="G30">
        <v>86</v>
      </c>
    </row>
    <row r="31" spans="1:7" x14ac:dyDescent="0.35">
      <c r="A31" t="s">
        <v>44</v>
      </c>
      <c r="B31" t="s">
        <v>35</v>
      </c>
      <c r="C31" t="s">
        <v>16</v>
      </c>
      <c r="D31">
        <v>129</v>
      </c>
      <c r="E31">
        <v>13287</v>
      </c>
      <c r="F31">
        <v>2599</v>
      </c>
      <c r="G31">
        <v>147</v>
      </c>
    </row>
    <row r="32" spans="1:7" x14ac:dyDescent="0.35">
      <c r="A32" t="s">
        <v>45</v>
      </c>
      <c r="B32" t="s">
        <v>46</v>
      </c>
      <c r="C32" t="s">
        <v>11</v>
      </c>
      <c r="D32">
        <v>106</v>
      </c>
      <c r="E32">
        <v>13674</v>
      </c>
      <c r="F32">
        <v>3905</v>
      </c>
      <c r="G32">
        <v>112</v>
      </c>
    </row>
    <row r="33" spans="1:7" x14ac:dyDescent="0.35">
      <c r="A33" t="s">
        <v>47</v>
      </c>
      <c r="B33" t="s">
        <v>46</v>
      </c>
      <c r="C33" t="s">
        <v>16</v>
      </c>
      <c r="D33">
        <v>103</v>
      </c>
      <c r="E33">
        <v>11227</v>
      </c>
      <c r="F33">
        <v>3602</v>
      </c>
      <c r="G33">
        <v>111</v>
      </c>
    </row>
    <row r="34" spans="1:7" x14ac:dyDescent="0.35">
      <c r="A34" t="s">
        <v>48</v>
      </c>
      <c r="B34" t="s">
        <v>46</v>
      </c>
      <c r="C34" t="s">
        <v>11</v>
      </c>
      <c r="D34">
        <v>146</v>
      </c>
      <c r="E34">
        <v>12702</v>
      </c>
      <c r="F34">
        <v>3669</v>
      </c>
      <c r="G34">
        <v>165</v>
      </c>
    </row>
    <row r="35" spans="1:7" x14ac:dyDescent="0.35">
      <c r="A35" t="s">
        <v>49</v>
      </c>
      <c r="B35" t="s">
        <v>46</v>
      </c>
      <c r="C35" t="s">
        <v>9</v>
      </c>
      <c r="D35">
        <v>148</v>
      </c>
      <c r="E35">
        <v>12876</v>
      </c>
      <c r="F35">
        <v>4059</v>
      </c>
      <c r="G35">
        <v>150</v>
      </c>
    </row>
    <row r="36" spans="1:7" x14ac:dyDescent="0.35">
      <c r="A36" t="s">
        <v>50</v>
      </c>
      <c r="B36" t="s">
        <v>46</v>
      </c>
      <c r="C36" t="s">
        <v>11</v>
      </c>
      <c r="D36">
        <v>139</v>
      </c>
      <c r="E36">
        <v>17792</v>
      </c>
      <c r="F36">
        <v>4412</v>
      </c>
      <c r="G36">
        <v>163</v>
      </c>
    </row>
    <row r="37" spans="1:7" x14ac:dyDescent="0.35">
      <c r="A37" t="s">
        <v>51</v>
      </c>
      <c r="B37" t="s">
        <v>46</v>
      </c>
      <c r="C37" t="s">
        <v>16</v>
      </c>
      <c r="D37">
        <v>173</v>
      </c>
      <c r="E37">
        <v>15743</v>
      </c>
      <c r="F37">
        <v>3066</v>
      </c>
      <c r="G37">
        <v>192</v>
      </c>
    </row>
    <row r="38" spans="1:7" x14ac:dyDescent="0.35">
      <c r="A38" t="s">
        <v>52</v>
      </c>
      <c r="B38" t="s">
        <v>46</v>
      </c>
      <c r="C38" t="s">
        <v>14</v>
      </c>
      <c r="D38">
        <v>145</v>
      </c>
      <c r="E38">
        <v>16240</v>
      </c>
      <c r="F38">
        <v>3238</v>
      </c>
      <c r="G38">
        <v>163</v>
      </c>
    </row>
    <row r="39" spans="1:7" x14ac:dyDescent="0.35">
      <c r="A39" t="s">
        <v>53</v>
      </c>
      <c r="B39" t="s">
        <v>46</v>
      </c>
      <c r="C39" t="s">
        <v>16</v>
      </c>
      <c r="D39">
        <v>107</v>
      </c>
      <c r="E39">
        <v>13482</v>
      </c>
      <c r="F39">
        <v>4508</v>
      </c>
      <c r="G39">
        <v>123</v>
      </c>
    </row>
    <row r="40" spans="1:7" x14ac:dyDescent="0.35">
      <c r="A40" t="s">
        <v>54</v>
      </c>
      <c r="B40" t="s">
        <v>46</v>
      </c>
      <c r="C40" t="s">
        <v>9</v>
      </c>
      <c r="D40">
        <v>163</v>
      </c>
      <c r="E40">
        <v>18256</v>
      </c>
      <c r="F40">
        <v>4167</v>
      </c>
      <c r="G40">
        <v>177</v>
      </c>
    </row>
    <row r="41" spans="1:7" x14ac:dyDescent="0.35">
      <c r="A41" t="s">
        <v>55</v>
      </c>
      <c r="B41" t="s">
        <v>46</v>
      </c>
      <c r="C41" t="s">
        <v>30</v>
      </c>
      <c r="D41">
        <v>101</v>
      </c>
      <c r="E41">
        <v>14140</v>
      </c>
      <c r="F41">
        <v>4145</v>
      </c>
      <c r="G41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89E2-2C63-463A-AA1A-9DDBCB3CA07A}">
  <dimension ref="A1:I29"/>
  <sheetViews>
    <sheetView tabSelected="1" zoomScale="53" workbookViewId="0">
      <selection activeCell="P17" sqref="P17"/>
    </sheetView>
  </sheetViews>
  <sheetFormatPr defaultRowHeight="18.5" x14ac:dyDescent="0.45"/>
  <cols>
    <col min="1" max="1" width="26.26953125" style="1" customWidth="1"/>
    <col min="2" max="3" width="8.7265625" style="1"/>
    <col min="4" max="4" width="29.6328125" style="1" customWidth="1"/>
    <col min="5" max="6" width="8.7265625" style="1"/>
    <col min="7" max="7" width="26.90625" style="1" customWidth="1"/>
    <col min="8" max="16384" width="8.7265625" style="1"/>
  </cols>
  <sheetData>
    <row r="1" spans="1:8" x14ac:dyDescent="0.45">
      <c r="A1" s="2" t="s">
        <v>56</v>
      </c>
      <c r="B1" s="2">
        <f>SUM('Historical Data'!D:D)</f>
        <v>4547</v>
      </c>
      <c r="D1" s="3" t="s">
        <v>57</v>
      </c>
      <c r="E1" s="3">
        <f>SUM('Historical Data'!E:E)</f>
        <v>515033</v>
      </c>
      <c r="G1" s="4" t="s">
        <v>58</v>
      </c>
      <c r="H1" s="4">
        <f>AVERAGE('Historical Data'!F:F)</f>
        <v>3141.1</v>
      </c>
    </row>
    <row r="3" spans="1:8" x14ac:dyDescent="0.45">
      <c r="A3" s="6" t="s">
        <v>59</v>
      </c>
      <c r="B3" s="7"/>
      <c r="C3" s="7"/>
      <c r="D3" s="7"/>
      <c r="E3" s="7"/>
      <c r="F3" s="7"/>
      <c r="G3" s="7"/>
      <c r="H3" s="7"/>
    </row>
    <row r="4" spans="1:8" x14ac:dyDescent="0.45">
      <c r="A4" s="7"/>
      <c r="B4" s="7"/>
      <c r="C4" s="7"/>
      <c r="D4" s="7"/>
      <c r="E4" s="7"/>
      <c r="F4" s="7"/>
      <c r="G4" s="7"/>
      <c r="H4" s="7"/>
    </row>
    <row r="20" spans="7:9" x14ac:dyDescent="0.45">
      <c r="G20" s="11" t="s">
        <v>65</v>
      </c>
      <c r="H20" s="5"/>
      <c r="I20" s="5"/>
    </row>
    <row r="21" spans="7:9" x14ac:dyDescent="0.45">
      <c r="G21" s="5"/>
      <c r="H21" s="5"/>
      <c r="I21" s="5"/>
    </row>
    <row r="22" spans="7:9" x14ac:dyDescent="0.45">
      <c r="G22" s="5"/>
      <c r="H22" s="5"/>
      <c r="I22" s="5"/>
    </row>
    <row r="23" spans="7:9" x14ac:dyDescent="0.45">
      <c r="G23" s="5"/>
      <c r="H23" s="5"/>
      <c r="I23" s="5"/>
    </row>
    <row r="24" spans="7:9" x14ac:dyDescent="0.45">
      <c r="G24" s="5"/>
      <c r="H24" s="5"/>
      <c r="I24" s="5"/>
    </row>
    <row r="25" spans="7:9" x14ac:dyDescent="0.45">
      <c r="G25" s="5"/>
      <c r="H25" s="5"/>
      <c r="I25" s="5"/>
    </row>
    <row r="26" spans="7:9" x14ac:dyDescent="0.45">
      <c r="G26" s="5"/>
      <c r="H26" s="5"/>
      <c r="I26" s="5"/>
    </row>
    <row r="27" spans="7:9" x14ac:dyDescent="0.45">
      <c r="G27" s="5"/>
      <c r="H27" s="5"/>
      <c r="I27" s="5"/>
    </row>
    <row r="28" spans="7:9" x14ac:dyDescent="0.45">
      <c r="G28" s="5"/>
      <c r="H28" s="5"/>
      <c r="I28" s="5"/>
    </row>
    <row r="29" spans="7:9" x14ac:dyDescent="0.45">
      <c r="G29" s="5"/>
      <c r="H29" s="5"/>
      <c r="I29" s="5"/>
    </row>
  </sheetData>
  <mergeCells count="2">
    <mergeCell ref="A3:H4"/>
    <mergeCell ref="G20:I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 Sales Trend</vt:lpstr>
      <vt:lpstr>Revenue Analysis</vt:lpstr>
      <vt:lpstr>Profit Distribution</vt:lpstr>
      <vt:lpstr>Historical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Preethi PM</cp:lastModifiedBy>
  <dcterms:created xsi:type="dcterms:W3CDTF">2026-06-09T09:33:17Z</dcterms:created>
  <dcterms:modified xsi:type="dcterms:W3CDTF">2026-06-09T09:48:47Z</dcterms:modified>
</cp:coreProperties>
</file>