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eethi\Downloads\"/>
    </mc:Choice>
  </mc:AlternateContent>
  <xr:revisionPtr revIDLastSave="0" documentId="13_ncr:1_{42D2E676-14D6-4828-8D21-43CECDD062C0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Top Selling Chocolates" sheetId="4" r:id="rId1"/>
    <sheet name="Sales by Type" sheetId="6" r:id="rId2"/>
    <sheet name="Sales Trend" sheetId="7" r:id="rId3"/>
    <sheet name="Chocolate Sales Data" sheetId="1" r:id="rId4"/>
    <sheet name="Dashboard" sheetId="2" r:id="rId5"/>
  </sheets>
  <calcPr calcId="191029"/>
  <pivotCaches>
    <pivotCache cacheId="9" r:id="rId6"/>
  </pivotCaches>
</workbook>
</file>

<file path=xl/calcChain.xml><?xml version="1.0" encoding="utf-8"?>
<calcChain xmlns="http://schemas.openxmlformats.org/spreadsheetml/2006/main">
  <c r="B1" i="2" l="1"/>
  <c r="E1" i="2"/>
  <c r="H1" i="2"/>
</calcChain>
</file>

<file path=xl/sharedStrings.xml><?xml version="1.0" encoding="utf-8"?>
<sst xmlns="http://schemas.openxmlformats.org/spreadsheetml/2006/main" count="211" uniqueCount="83">
  <si>
    <t>Date</t>
  </si>
  <si>
    <t>Chocolate_Name</t>
  </si>
  <si>
    <t>Type</t>
  </si>
  <si>
    <t>Quantity</t>
  </si>
  <si>
    <t>Price_Per_Unit</t>
  </si>
  <si>
    <t>Sales</t>
  </si>
  <si>
    <t>2026-01-01</t>
  </si>
  <si>
    <t>Dairy Milk</t>
  </si>
  <si>
    <t>Milk Chocolate</t>
  </si>
  <si>
    <t>2026-01-02</t>
  </si>
  <si>
    <t>KitKat</t>
  </si>
  <si>
    <t>Wafer</t>
  </si>
  <si>
    <t>2026-01-03</t>
  </si>
  <si>
    <t>5 Star</t>
  </si>
  <si>
    <t>Caramel</t>
  </si>
  <si>
    <t>2026-01-04</t>
  </si>
  <si>
    <t>Munch</t>
  </si>
  <si>
    <t>2026-01-05</t>
  </si>
  <si>
    <t>Perk</t>
  </si>
  <si>
    <t>2026-01-06</t>
  </si>
  <si>
    <t>Snickers</t>
  </si>
  <si>
    <t>Nougat</t>
  </si>
  <si>
    <t>2026-01-07</t>
  </si>
  <si>
    <t>Mars</t>
  </si>
  <si>
    <t>2026-01-08</t>
  </si>
  <si>
    <t>Bounty</t>
  </si>
  <si>
    <t>Coconut</t>
  </si>
  <si>
    <t>2026-01-09</t>
  </si>
  <si>
    <t>Ferrero Rocher</t>
  </si>
  <si>
    <t>Premium</t>
  </si>
  <si>
    <t>2026-01-10</t>
  </si>
  <si>
    <t>Toblerone</t>
  </si>
  <si>
    <t>2026-01-11</t>
  </si>
  <si>
    <t>Dairy Milk Silk</t>
  </si>
  <si>
    <t>2026-01-12</t>
  </si>
  <si>
    <t>KitKat Chunky</t>
  </si>
  <si>
    <t>2026-01-13</t>
  </si>
  <si>
    <t>Milky Bar</t>
  </si>
  <si>
    <t>White Chocolate</t>
  </si>
  <si>
    <t>2026-01-14</t>
  </si>
  <si>
    <t>Galaxy</t>
  </si>
  <si>
    <t>2026-01-15</t>
  </si>
  <si>
    <t>Lindt</t>
  </si>
  <si>
    <t>Dark Chocolate</t>
  </si>
  <si>
    <t>2026-01-16</t>
  </si>
  <si>
    <t>Hershey's</t>
  </si>
  <si>
    <t>2026-01-17</t>
  </si>
  <si>
    <t>Amul Dark</t>
  </si>
  <si>
    <t>2026-01-18</t>
  </si>
  <si>
    <t>Fuse</t>
  </si>
  <si>
    <t>2026-01-19</t>
  </si>
  <si>
    <t>Bar One</t>
  </si>
  <si>
    <t>2026-01-20</t>
  </si>
  <si>
    <t>Temptations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</si>
  <si>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</si>
  <si>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</si>
  <si>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</si>
  <si>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</si>
  <si>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</si>
  <si>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</si>
  <si>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</si>
  <si>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</si>
  <si>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</si>
  <si>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</si>
  <si>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</si>
  <si>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</si>
  <si>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</si>
  <si>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</si>
  <si>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</si>
  <si>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</si>
  <si>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</si>
  <si>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</si>
  <si>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</si>
  <si>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</si>
  <si>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Total Sales</t>
  </si>
  <si>
    <t>Total Quantity</t>
  </si>
  <si>
    <t>Average Sales</t>
  </si>
  <si>
    <t>Row Labels</t>
  </si>
  <si>
    <t>(blank)</t>
  </si>
  <si>
    <t>Grand Total</t>
  </si>
  <si>
    <t>Sum of Sales</t>
  </si>
  <si>
    <t xml:space="preserve">                                Sales &amp; Revenue Analysis Dashboard</t>
  </si>
  <si>
    <r>
      <rPr>
        <b/>
        <sz val="24"/>
        <color rgb="FF002060"/>
        <rFont val="Calibri"/>
        <family val="2"/>
        <scheme val="minor"/>
      </rPr>
      <t>Key Insights</t>
    </r>
    <r>
      <rPr>
        <b/>
        <sz val="11"/>
        <color theme="1"/>
        <rFont val="Calibri"/>
        <family val="2"/>
        <scheme val="minor"/>
      </rPr>
      <t xml:space="preserve">
1.Milk Chocolate generated the highest sales revenue.
2.Lindt was the top-selling chocolate brand.
3.Premium and Wafer categories contributed significantly to overall revenue.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</si>
</sst>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20"/>
      <color rgb="FF002060"/>
      <name val="Arial Rounded MT Bold"/>
      <family val="2"/>
    </font>
    <font>
      <b/>
      <sz val="24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4" borderId="0" xfId="0" applyFont="1" applyFill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[Chocolate_Sales_Dataset.xlsx]Top Selling Chocolates!PivotTable1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Selling Chocolates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Selling Chocolates'!$B$3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'Top Selling Chocolates'!$A$4:$A$25</c:f>
              <c:strCache>
                <c:ptCount val="21"/>
                <c:pt idx="0">
                  <c:v>5 Star</c:v>
                </c:pt>
                <c:pt idx="1">
                  <c:v>Amul Dark</c:v>
                </c:pt>
                <c:pt idx="2">
                  <c:v>Bar One</c:v>
                </c:pt>
                <c:pt idx="3">
                  <c:v>Bounty</c:v>
                </c:pt>
                <c:pt idx="4">
                  <c:v>Dairy Milk</c:v>
                </c:pt>
                <c:pt idx="5">
                  <c:v>Dairy Milk Silk</c:v>
                </c:pt>
                <c:pt idx="6">
                  <c:v>Ferrero Rocher</c:v>
                </c:pt>
                <c:pt idx="7">
                  <c:v>Fuse</c:v>
                </c:pt>
                <c:pt idx="8">
                  <c:v>Galaxy</c:v>
                </c:pt>
                <c:pt idx="9">
                  <c:v>Hershey's</c:v>
                </c:pt>
                <c:pt idx="10">
                  <c:v>KitKat</c:v>
                </c:pt>
                <c:pt idx="11">
                  <c:v>KitKat Chunky</c:v>
                </c:pt>
                <c:pt idx="12">
                  <c:v>Lindt</c:v>
                </c:pt>
                <c:pt idx="13">
                  <c:v>Mars</c:v>
                </c:pt>
                <c:pt idx="14">
                  <c:v>Milky Bar</c:v>
                </c:pt>
                <c:pt idx="15">
                  <c:v>Munch</c:v>
                </c:pt>
                <c:pt idx="16">
                  <c:v>Perk</c:v>
                </c:pt>
                <c:pt idx="17">
                  <c:v>Snickers</c:v>
                </c:pt>
                <c:pt idx="18">
                  <c:v>Temptations</c:v>
                </c:pt>
                <c:pt idx="19">
                  <c:v>Toblerone</c:v>
                </c:pt>
                <c:pt idx="20">
                  <c:v>(blank)</c:v>
                </c:pt>
              </c:strCache>
            </c:strRef>
          </c:cat>
          <c:val>
            <c:numRef>
              <c:f>'Top Selling Chocolates'!$B$4:$B$25</c:f>
              <c:numCache>
                <c:formatCode>General</c:formatCode>
                <c:ptCount val="21"/>
                <c:pt idx="0">
                  <c:v>525</c:v>
                </c:pt>
                <c:pt idx="1">
                  <c:v>1000</c:v>
                </c:pt>
                <c:pt idx="2">
                  <c:v>660</c:v>
                </c:pt>
                <c:pt idx="3">
                  <c:v>715</c:v>
                </c:pt>
                <c:pt idx="4">
                  <c:v>1250</c:v>
                </c:pt>
                <c:pt idx="5">
                  <c:v>1840</c:v>
                </c:pt>
                <c:pt idx="6">
                  <c:v>900</c:v>
                </c:pt>
                <c:pt idx="7">
                  <c:v>825</c:v>
                </c:pt>
                <c:pt idx="8">
                  <c:v>1140</c:v>
                </c:pt>
                <c:pt idx="9">
                  <c:v>1470</c:v>
                </c:pt>
                <c:pt idx="10">
                  <c:v>640</c:v>
                </c:pt>
                <c:pt idx="11">
                  <c:v>810</c:v>
                </c:pt>
                <c:pt idx="12">
                  <c:v>1950</c:v>
                </c:pt>
                <c:pt idx="13">
                  <c:v>850</c:v>
                </c:pt>
                <c:pt idx="14">
                  <c:v>725</c:v>
                </c:pt>
                <c:pt idx="15">
                  <c:v>600</c:v>
                </c:pt>
                <c:pt idx="16">
                  <c:v>390</c:v>
                </c:pt>
                <c:pt idx="17">
                  <c:v>765</c:v>
                </c:pt>
                <c:pt idx="18">
                  <c:v>1350</c:v>
                </c:pt>
                <c:pt idx="19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7-4605-BB2F-F3BF01366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00195551"/>
        <c:axId val="1400197471"/>
      </c:barChart>
      <c:catAx>
        <c:axId val="140019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97471"/>
        <c:crosses val="autoZero"/>
        <c:auto val="1"/>
        <c:lblAlgn val="ctr"/>
        <c:lblOffset val="100"/>
        <c:noMultiLvlLbl val="0"/>
      </c:catAx>
      <c:valAx>
        <c:axId val="140019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9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[Chocolate_Sales_Dataset.xlsx]Sales by Type!PivotTable4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Distribution by Chocolate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444444444444446E-2"/>
          <c:y val="0.25606262758821813"/>
          <c:w val="0.70441141732283463"/>
          <c:h val="0.6744929279673374"/>
        </c:manualLayout>
      </c:layout>
      <c:ofPieChart>
        <c:ofPieType val="bar"/>
        <c:varyColors val="1"/>
        <c:ser>
          <c:idx val="0"/>
          <c:order val="0"/>
          <c:tx>
            <c:strRef>
              <c:f>'Sales by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'Sales by Type'!$A$4:$A$13</c:f>
              <c:strCache>
                <c:ptCount val="9"/>
                <c:pt idx="0">
                  <c:v>Caramel</c:v>
                </c:pt>
                <c:pt idx="1">
                  <c:v>Coconut</c:v>
                </c:pt>
                <c:pt idx="2">
                  <c:v>Dark Chocolate</c:v>
                </c:pt>
                <c:pt idx="3">
                  <c:v>Milk Chocolate</c:v>
                </c:pt>
                <c:pt idx="4">
                  <c:v>Nougat</c:v>
                </c:pt>
                <c:pt idx="5">
                  <c:v>Premium</c:v>
                </c:pt>
                <c:pt idx="6">
                  <c:v>Wafer</c:v>
                </c:pt>
                <c:pt idx="7">
                  <c:v>White Chocolate</c:v>
                </c:pt>
                <c:pt idx="8">
                  <c:v>(blank)</c:v>
                </c:pt>
              </c:strCache>
            </c:strRef>
          </c:cat>
          <c:val>
            <c:numRef>
              <c:f>'Sales by Type'!$B$4:$B$13</c:f>
              <c:numCache>
                <c:formatCode>General</c:formatCode>
                <c:ptCount val="9"/>
                <c:pt idx="0">
                  <c:v>2010</c:v>
                </c:pt>
                <c:pt idx="1">
                  <c:v>715</c:v>
                </c:pt>
                <c:pt idx="2">
                  <c:v>2950</c:v>
                </c:pt>
                <c:pt idx="3">
                  <c:v>5700</c:v>
                </c:pt>
                <c:pt idx="4">
                  <c:v>1615</c:v>
                </c:pt>
                <c:pt idx="5">
                  <c:v>3330</c:v>
                </c:pt>
                <c:pt idx="6">
                  <c:v>2440</c:v>
                </c:pt>
                <c:pt idx="7">
                  <c:v>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3-4ECB-B8D2-7EFD5E142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[Chocolate_Sales_Dataset.xlsx]Sales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'Sales Trend'!$A$4:$A$45</c:f>
              <c:strCache>
                <c:ptCount val="41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  <c:pt idx="4">
                  <c:v>2026-01-05</c:v>
                </c:pt>
                <c:pt idx="5">
                  <c:v>2026-01-06</c:v>
                </c:pt>
                <c:pt idx="6">
                  <c:v>2026-01-07</c:v>
                </c:pt>
                <c:pt idx="7">
                  <c:v>2026-01-08</c:v>
                </c:pt>
                <c:pt idx="8">
                  <c:v>2026-01-09</c:v>
                </c:pt>
                <c:pt idx="9">
                  <c:v>2026-01-10</c:v>
                </c:pt>
                <c:pt idx="10">
                  <c:v>2026-01-11</c:v>
                </c:pt>
                <c:pt idx="11">
                  <c:v>2026-01-12</c:v>
                </c:pt>
                <c:pt idx="12">
                  <c:v>2026-01-13</c:v>
                </c:pt>
                <c:pt idx="13">
                  <c:v>2026-01-14</c:v>
                </c:pt>
                <c:pt idx="14">
                  <c:v>2026-01-15</c:v>
                </c:pt>
                <c:pt idx="15">
                  <c:v>2026-01-16</c:v>
                </c:pt>
                <c:pt idx="16">
                  <c:v>2026-01-17</c:v>
                </c:pt>
                <c:pt idx="17">
                  <c:v>2026-01-18</c:v>
                </c:pt>
                <c:pt idx="18">
                  <c:v>2026-01-19</c:v>
                </c:pt>
                <c:pt idx="19">
                  <c:v>2026-01-20</c:v>
                </c:pt>
                <c:pt idx="20">
                  <c:v>2026-01-21</c:v>
                </c:pt>
                <c:pt idx="21">
                  <c:v>2026-01-22</c:v>
                </c:pt>
                <c:pt idx="22">
                  <c:v>2026-01-23</c:v>
                </c:pt>
                <c:pt idx="23">
                  <c:v>2026-01-24</c:v>
                </c:pt>
                <c:pt idx="24">
                  <c:v>2026-01-25</c:v>
                </c:pt>
                <c:pt idx="25">
                  <c:v>2026-01-26</c:v>
                </c:pt>
                <c:pt idx="26">
                  <c:v>2026-01-27</c:v>
                </c:pt>
                <c:pt idx="27">
                  <c:v>2026-01-28</c:v>
                </c:pt>
                <c:pt idx="28">
                  <c:v>2026-01-29</c:v>
                </c:pt>
                <c:pt idx="29">
                  <c:v>2026-01-30</c:v>
                </c:pt>
                <c:pt idx="30">
                  <c:v>2026-01-31</c:v>
                </c:pt>
                <c:pt idx="31">
                  <c:v>2026-02-01</c:v>
                </c:pt>
                <c:pt idx="32">
                  <c:v>2026-02-02</c:v>
                </c:pt>
                <c:pt idx="33">
                  <c:v>2026-02-03</c:v>
                </c:pt>
                <c:pt idx="34">
                  <c:v>2026-02-04</c:v>
                </c:pt>
                <c:pt idx="35">
                  <c:v>2026-02-05</c:v>
                </c:pt>
                <c:pt idx="36">
                  <c:v>2026-02-06</c:v>
                </c:pt>
                <c:pt idx="37">
                  <c:v>2026-02-07</c:v>
                </c:pt>
                <c:pt idx="38">
                  <c:v>2026-02-08</c:v>
                </c:pt>
                <c:pt idx="39">
                  <c:v>2026-02-09</c:v>
                </c:pt>
                <c:pt idx="40">
                  <c:v>(blank)</c:v>
                </c:pt>
              </c:strCache>
            </c:strRef>
          </c:cat>
          <c:val>
            <c:numRef>
              <c:f>'Sales Trend'!$B$4:$B$45</c:f>
              <c:numCache>
                <c:formatCode>General</c:formatCode>
                <c:ptCount val="41"/>
                <c:pt idx="0">
                  <c:v>600</c:v>
                </c:pt>
                <c:pt idx="1">
                  <c:v>300</c:v>
                </c:pt>
                <c:pt idx="2">
                  <c:v>250</c:v>
                </c:pt>
                <c:pt idx="3">
                  <c:v>270</c:v>
                </c:pt>
                <c:pt idx="4">
                  <c:v>200</c:v>
                </c:pt>
                <c:pt idx="5">
                  <c:v>360</c:v>
                </c:pt>
                <c:pt idx="6">
                  <c:v>450</c:v>
                </c:pt>
                <c:pt idx="7">
                  <c:v>385</c:v>
                </c:pt>
                <c:pt idx="8">
                  <c:v>500</c:v>
                </c:pt>
                <c:pt idx="9">
                  <c:v>480</c:v>
                </c:pt>
                <c:pt idx="10">
                  <c:v>880</c:v>
                </c:pt>
                <c:pt idx="11">
                  <c:v>390</c:v>
                </c:pt>
                <c:pt idx="12">
                  <c:v>350</c:v>
                </c:pt>
                <c:pt idx="13">
                  <c:v>540</c:v>
                </c:pt>
                <c:pt idx="14">
                  <c:v>900</c:v>
                </c:pt>
                <c:pt idx="15">
                  <c:v>700</c:v>
                </c:pt>
                <c:pt idx="16">
                  <c:v>480</c:v>
                </c:pt>
                <c:pt idx="17">
                  <c:v>400</c:v>
                </c:pt>
                <c:pt idx="18">
                  <c:v>300</c:v>
                </c:pt>
                <c:pt idx="19">
                  <c:v>630</c:v>
                </c:pt>
                <c:pt idx="20">
                  <c:v>650</c:v>
                </c:pt>
                <c:pt idx="21">
                  <c:v>340</c:v>
                </c:pt>
                <c:pt idx="22">
                  <c:v>275</c:v>
                </c:pt>
                <c:pt idx="23">
                  <c:v>330</c:v>
                </c:pt>
                <c:pt idx="24">
                  <c:v>190</c:v>
                </c:pt>
                <c:pt idx="25">
                  <c:v>405</c:v>
                </c:pt>
                <c:pt idx="26">
                  <c:v>400</c:v>
                </c:pt>
                <c:pt idx="27">
                  <c:v>330</c:v>
                </c:pt>
                <c:pt idx="28">
                  <c:v>400</c:v>
                </c:pt>
                <c:pt idx="29">
                  <c:v>600</c:v>
                </c:pt>
                <c:pt idx="30">
                  <c:v>960</c:v>
                </c:pt>
                <c:pt idx="31">
                  <c:v>420</c:v>
                </c:pt>
                <c:pt idx="32">
                  <c:v>375</c:v>
                </c:pt>
                <c:pt idx="33">
                  <c:v>600</c:v>
                </c:pt>
                <c:pt idx="34">
                  <c:v>1050</c:v>
                </c:pt>
                <c:pt idx="35">
                  <c:v>770</c:v>
                </c:pt>
                <c:pt idx="36">
                  <c:v>520</c:v>
                </c:pt>
                <c:pt idx="37">
                  <c:v>425</c:v>
                </c:pt>
                <c:pt idx="38">
                  <c:v>360</c:v>
                </c:pt>
                <c:pt idx="39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B-449C-A0BD-97FB8685C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196511"/>
        <c:axId val="1400196991"/>
      </c:lineChart>
      <c:catAx>
        <c:axId val="14001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96991"/>
        <c:crosses val="autoZero"/>
        <c:auto val="1"/>
        <c:lblAlgn val="ctr"/>
        <c:lblOffset val="100"/>
        <c:noMultiLvlLbl val="0"/>
      </c:catAx>
      <c:valAx>
        <c:axId val="14001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[Chocolate_Sales_Dataset.xlsx]Top Selling Chocolates!PivotTable1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Selling Chocolates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Selling Chocolates'!$B$3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'Top Selling Chocolates'!$A$4:$A$25</c:f>
              <c:strCache>
                <c:ptCount val="21"/>
                <c:pt idx="0">
                  <c:v>5 Star</c:v>
                </c:pt>
                <c:pt idx="1">
                  <c:v>Amul Dark</c:v>
                </c:pt>
                <c:pt idx="2">
                  <c:v>Bar One</c:v>
                </c:pt>
                <c:pt idx="3">
                  <c:v>Bounty</c:v>
                </c:pt>
                <c:pt idx="4">
                  <c:v>Dairy Milk</c:v>
                </c:pt>
                <c:pt idx="5">
                  <c:v>Dairy Milk Silk</c:v>
                </c:pt>
                <c:pt idx="6">
                  <c:v>Ferrero Rocher</c:v>
                </c:pt>
                <c:pt idx="7">
                  <c:v>Fuse</c:v>
                </c:pt>
                <c:pt idx="8">
                  <c:v>Galaxy</c:v>
                </c:pt>
                <c:pt idx="9">
                  <c:v>Hershey's</c:v>
                </c:pt>
                <c:pt idx="10">
                  <c:v>KitKat</c:v>
                </c:pt>
                <c:pt idx="11">
                  <c:v>KitKat Chunky</c:v>
                </c:pt>
                <c:pt idx="12">
                  <c:v>Lindt</c:v>
                </c:pt>
                <c:pt idx="13">
                  <c:v>Mars</c:v>
                </c:pt>
                <c:pt idx="14">
                  <c:v>Milky Bar</c:v>
                </c:pt>
                <c:pt idx="15">
                  <c:v>Munch</c:v>
                </c:pt>
                <c:pt idx="16">
                  <c:v>Perk</c:v>
                </c:pt>
                <c:pt idx="17">
                  <c:v>Snickers</c:v>
                </c:pt>
                <c:pt idx="18">
                  <c:v>Temptations</c:v>
                </c:pt>
                <c:pt idx="19">
                  <c:v>Toblerone</c:v>
                </c:pt>
                <c:pt idx="20">
                  <c:v>(blank)</c:v>
                </c:pt>
              </c:strCache>
            </c:strRef>
          </c:cat>
          <c:val>
            <c:numRef>
              <c:f>'Top Selling Chocolates'!$B$4:$B$25</c:f>
              <c:numCache>
                <c:formatCode>General</c:formatCode>
                <c:ptCount val="21"/>
                <c:pt idx="0">
                  <c:v>525</c:v>
                </c:pt>
                <c:pt idx="1">
                  <c:v>1000</c:v>
                </c:pt>
                <c:pt idx="2">
                  <c:v>660</c:v>
                </c:pt>
                <c:pt idx="3">
                  <c:v>715</c:v>
                </c:pt>
                <c:pt idx="4">
                  <c:v>1250</c:v>
                </c:pt>
                <c:pt idx="5">
                  <c:v>1840</c:v>
                </c:pt>
                <c:pt idx="6">
                  <c:v>900</c:v>
                </c:pt>
                <c:pt idx="7">
                  <c:v>825</c:v>
                </c:pt>
                <c:pt idx="8">
                  <c:v>1140</c:v>
                </c:pt>
                <c:pt idx="9">
                  <c:v>1470</c:v>
                </c:pt>
                <c:pt idx="10">
                  <c:v>640</c:v>
                </c:pt>
                <c:pt idx="11">
                  <c:v>810</c:v>
                </c:pt>
                <c:pt idx="12">
                  <c:v>1950</c:v>
                </c:pt>
                <c:pt idx="13">
                  <c:v>850</c:v>
                </c:pt>
                <c:pt idx="14">
                  <c:v>725</c:v>
                </c:pt>
                <c:pt idx="15">
                  <c:v>600</c:v>
                </c:pt>
                <c:pt idx="16">
                  <c:v>390</c:v>
                </c:pt>
                <c:pt idx="17">
                  <c:v>765</c:v>
                </c:pt>
                <c:pt idx="18">
                  <c:v>1350</c:v>
                </c:pt>
                <c:pt idx="19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2-4393-B342-66F9A20F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00195551"/>
        <c:axId val="1400197471"/>
      </c:barChart>
      <c:catAx>
        <c:axId val="140019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97471"/>
        <c:crosses val="autoZero"/>
        <c:auto val="1"/>
        <c:lblAlgn val="ctr"/>
        <c:lblOffset val="100"/>
        <c:noMultiLvlLbl val="0"/>
      </c:catAx>
      <c:valAx>
        <c:axId val="140019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9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[Chocolate_Sales_Dataset.xlsx]Sales by Type!PivotTable4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Distribution by Chocolate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4.4444444444444446E-2"/>
          <c:y val="0.25606262758821813"/>
          <c:w val="0.70441141732283463"/>
          <c:h val="0.6744929279673374"/>
        </c:manualLayout>
      </c:layout>
      <c:ofPieChart>
        <c:ofPieType val="bar"/>
        <c:varyColors val="1"/>
        <c:ser>
          <c:idx val="0"/>
          <c:order val="0"/>
          <c:tx>
            <c:strRef>
              <c:f>'Sales by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0FA-486C-A6D5-25F0782D170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0FA-486C-A6D5-25F0782D170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0FA-486C-A6D5-25F0782D170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0FA-486C-A6D5-25F0782D170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0FA-486C-A6D5-25F0782D170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0FA-486C-A6D5-25F0782D170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70FA-486C-A6D5-25F0782D170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70FA-486C-A6D5-25F0782D170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70FA-486C-A6D5-25F0782D170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70FA-486C-A6D5-25F0782D1709}"/>
              </c:ext>
            </c:extLst>
          </c:dPt>
          <c:cat>
            <c:strRef>
              <c:f>'Sales by Type'!$A$4:$A$13</c:f>
              <c:strCache>
                <c:ptCount val="9"/>
                <c:pt idx="0">
                  <c:v>Caramel</c:v>
                </c:pt>
                <c:pt idx="1">
                  <c:v>Coconut</c:v>
                </c:pt>
                <c:pt idx="2">
                  <c:v>Dark Chocolate</c:v>
                </c:pt>
                <c:pt idx="3">
                  <c:v>Milk Chocolate</c:v>
                </c:pt>
                <c:pt idx="4">
                  <c:v>Nougat</c:v>
                </c:pt>
                <c:pt idx="5">
                  <c:v>Premium</c:v>
                </c:pt>
                <c:pt idx="6">
                  <c:v>Wafer</c:v>
                </c:pt>
                <c:pt idx="7">
                  <c:v>White Chocolate</c:v>
                </c:pt>
                <c:pt idx="8">
                  <c:v>(blank)</c:v>
                </c:pt>
              </c:strCache>
            </c:strRef>
          </c:cat>
          <c:val>
            <c:numRef>
              <c:f>'Sales by Type'!$B$4:$B$13</c:f>
              <c:numCache>
                <c:formatCode>General</c:formatCode>
                <c:ptCount val="9"/>
                <c:pt idx="0">
                  <c:v>2010</c:v>
                </c:pt>
                <c:pt idx="1">
                  <c:v>715</c:v>
                </c:pt>
                <c:pt idx="2">
                  <c:v>2950</c:v>
                </c:pt>
                <c:pt idx="3">
                  <c:v>5700</c:v>
                </c:pt>
                <c:pt idx="4">
                  <c:v>1615</c:v>
                </c:pt>
                <c:pt idx="5">
                  <c:v>3330</c:v>
                </c:pt>
                <c:pt idx="6">
                  <c:v>2440</c:v>
                </c:pt>
                <c:pt idx="7">
                  <c:v>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0FA-486C-A6D5-25F0782D1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[Chocolate_Sales_Dataset.xlsx]Sales Trend!PivotTable5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'Sales Trend'!$A$4:$A$45</c:f>
              <c:strCache>
                <c:ptCount val="41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  <c:pt idx="4">
                  <c:v>2026-01-05</c:v>
                </c:pt>
                <c:pt idx="5">
                  <c:v>2026-01-06</c:v>
                </c:pt>
                <c:pt idx="6">
                  <c:v>2026-01-07</c:v>
                </c:pt>
                <c:pt idx="7">
                  <c:v>2026-01-08</c:v>
                </c:pt>
                <c:pt idx="8">
                  <c:v>2026-01-09</c:v>
                </c:pt>
                <c:pt idx="9">
                  <c:v>2026-01-10</c:v>
                </c:pt>
                <c:pt idx="10">
                  <c:v>2026-01-11</c:v>
                </c:pt>
                <c:pt idx="11">
                  <c:v>2026-01-12</c:v>
                </c:pt>
                <c:pt idx="12">
                  <c:v>2026-01-13</c:v>
                </c:pt>
                <c:pt idx="13">
                  <c:v>2026-01-14</c:v>
                </c:pt>
                <c:pt idx="14">
                  <c:v>2026-01-15</c:v>
                </c:pt>
                <c:pt idx="15">
                  <c:v>2026-01-16</c:v>
                </c:pt>
                <c:pt idx="16">
                  <c:v>2026-01-17</c:v>
                </c:pt>
                <c:pt idx="17">
                  <c:v>2026-01-18</c:v>
                </c:pt>
                <c:pt idx="18">
                  <c:v>2026-01-19</c:v>
                </c:pt>
                <c:pt idx="19">
                  <c:v>2026-01-20</c:v>
                </c:pt>
                <c:pt idx="20">
                  <c:v>2026-01-21</c:v>
                </c:pt>
                <c:pt idx="21">
                  <c:v>2026-01-22</c:v>
                </c:pt>
                <c:pt idx="22">
                  <c:v>2026-01-23</c:v>
                </c:pt>
                <c:pt idx="23">
                  <c:v>2026-01-24</c:v>
                </c:pt>
                <c:pt idx="24">
                  <c:v>2026-01-25</c:v>
                </c:pt>
                <c:pt idx="25">
                  <c:v>2026-01-26</c:v>
                </c:pt>
                <c:pt idx="26">
                  <c:v>2026-01-27</c:v>
                </c:pt>
                <c:pt idx="27">
                  <c:v>2026-01-28</c:v>
                </c:pt>
                <c:pt idx="28">
                  <c:v>2026-01-29</c:v>
                </c:pt>
                <c:pt idx="29">
                  <c:v>2026-01-30</c:v>
                </c:pt>
                <c:pt idx="30">
                  <c:v>2026-01-31</c:v>
                </c:pt>
                <c:pt idx="31">
                  <c:v>2026-02-01</c:v>
                </c:pt>
                <c:pt idx="32">
                  <c:v>2026-02-02</c:v>
                </c:pt>
                <c:pt idx="33">
                  <c:v>2026-02-03</c:v>
                </c:pt>
                <c:pt idx="34">
                  <c:v>2026-02-04</c:v>
                </c:pt>
                <c:pt idx="35">
                  <c:v>2026-02-05</c:v>
                </c:pt>
                <c:pt idx="36">
                  <c:v>2026-02-06</c:v>
                </c:pt>
                <c:pt idx="37">
                  <c:v>2026-02-07</c:v>
                </c:pt>
                <c:pt idx="38">
                  <c:v>2026-02-08</c:v>
                </c:pt>
                <c:pt idx="39">
                  <c:v>2026-02-09</c:v>
                </c:pt>
                <c:pt idx="40">
                  <c:v>(blank)</c:v>
                </c:pt>
              </c:strCache>
            </c:strRef>
          </c:cat>
          <c:val>
            <c:numRef>
              <c:f>'Sales Trend'!$B$4:$B$45</c:f>
              <c:numCache>
                <c:formatCode>General</c:formatCode>
                <c:ptCount val="41"/>
                <c:pt idx="0">
                  <c:v>600</c:v>
                </c:pt>
                <c:pt idx="1">
                  <c:v>300</c:v>
                </c:pt>
                <c:pt idx="2">
                  <c:v>250</c:v>
                </c:pt>
                <c:pt idx="3">
                  <c:v>270</c:v>
                </c:pt>
                <c:pt idx="4">
                  <c:v>200</c:v>
                </c:pt>
                <c:pt idx="5">
                  <c:v>360</c:v>
                </c:pt>
                <c:pt idx="6">
                  <c:v>450</c:v>
                </c:pt>
                <c:pt idx="7">
                  <c:v>385</c:v>
                </c:pt>
                <c:pt idx="8">
                  <c:v>500</c:v>
                </c:pt>
                <c:pt idx="9">
                  <c:v>480</c:v>
                </c:pt>
                <c:pt idx="10">
                  <c:v>880</c:v>
                </c:pt>
                <c:pt idx="11">
                  <c:v>390</c:v>
                </c:pt>
                <c:pt idx="12">
                  <c:v>350</c:v>
                </c:pt>
                <c:pt idx="13">
                  <c:v>540</c:v>
                </c:pt>
                <c:pt idx="14">
                  <c:v>900</c:v>
                </c:pt>
                <c:pt idx="15">
                  <c:v>700</c:v>
                </c:pt>
                <c:pt idx="16">
                  <c:v>480</c:v>
                </c:pt>
                <c:pt idx="17">
                  <c:v>400</c:v>
                </c:pt>
                <c:pt idx="18">
                  <c:v>300</c:v>
                </c:pt>
                <c:pt idx="19">
                  <c:v>630</c:v>
                </c:pt>
                <c:pt idx="20">
                  <c:v>650</c:v>
                </c:pt>
                <c:pt idx="21">
                  <c:v>340</c:v>
                </c:pt>
                <c:pt idx="22">
                  <c:v>275</c:v>
                </c:pt>
                <c:pt idx="23">
                  <c:v>330</c:v>
                </c:pt>
                <c:pt idx="24">
                  <c:v>190</c:v>
                </c:pt>
                <c:pt idx="25">
                  <c:v>405</c:v>
                </c:pt>
                <c:pt idx="26">
                  <c:v>400</c:v>
                </c:pt>
                <c:pt idx="27">
                  <c:v>330</c:v>
                </c:pt>
                <c:pt idx="28">
                  <c:v>400</c:v>
                </c:pt>
                <c:pt idx="29">
                  <c:v>600</c:v>
                </c:pt>
                <c:pt idx="30">
                  <c:v>960</c:v>
                </c:pt>
                <c:pt idx="31">
                  <c:v>420</c:v>
                </c:pt>
                <c:pt idx="32">
                  <c:v>375</c:v>
                </c:pt>
                <c:pt idx="33">
                  <c:v>600</c:v>
                </c:pt>
                <c:pt idx="34">
                  <c:v>1050</c:v>
                </c:pt>
                <c:pt idx="35">
                  <c:v>770</c:v>
                </c:pt>
                <c:pt idx="36">
                  <c:v>520</c:v>
                </c:pt>
                <c:pt idx="37">
                  <c:v>425</c:v>
                </c:pt>
                <c:pt idx="38">
                  <c:v>360</c:v>
                </c:pt>
                <c:pt idx="39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C-4E63-AE72-68F007E8E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196511"/>
        <c:axId val="1400196991"/>
      </c:lineChart>
      <c:catAx>
        <c:axId val="14001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96991"/>
        <c:crosses val="autoZero"/>
        <c:auto val="1"/>
        <c:lblAlgn val="ctr"/>
        <c:lblOffset val="100"/>
        <c:noMultiLvlLbl val="0"/>
      </c:catAx>
      <c:valAx>
        <c:axId val="14001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2</xdr:row>
      <xdr:rowOff>12700</xdr:rowOff>
    </xdr:from>
    <xdr:to>
      <xdr:col>10</xdr:col>
      <xdr:colOff>301625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C11D6-01E7-0240-5AE0-5761AEADF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2</xdr:row>
      <xdr:rowOff>6350</xdr:rowOff>
    </xdr:from>
    <xdr:to>
      <xdr:col>10</xdr:col>
      <xdr:colOff>336550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9E54A-2956-7EA0-48D4-1A0B2142D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3</xdr:row>
      <xdr:rowOff>6350</xdr:rowOff>
    </xdr:from>
    <xdr:to>
      <xdr:col>10</xdr:col>
      <xdr:colOff>336550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C113F-913D-B4EB-88B9-EAA08447C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298450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A8D76-D6C2-4354-B82A-F5F618DCE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4</xdr:row>
      <xdr:rowOff>6350</xdr:rowOff>
    </xdr:from>
    <xdr:to>
      <xdr:col>11</xdr:col>
      <xdr:colOff>495300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740CFB-FCD1-406C-A4D5-A68AFD268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7</xdr:col>
      <xdr:colOff>196850</xdr:colOff>
      <xdr:row>36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D2D70B-1BE5-4A7A-9C49-E461F28A2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ethi" refreshedDate="46181.625126851854" createdVersion="8" refreshedVersion="8" minRefreshableVersion="3" recordCount="41" xr:uid="{820A3A12-41D0-454A-B924-6E3CF8B3F175}">
  <cacheSource type="worksheet">
    <worksheetSource ref="A1:F1048576" sheet="Chocolate Sales Data"/>
  </cacheSource>
  <cacheFields count="6">
    <cacheField name="Date" numFmtId="0">
      <sharedItems containsBlank="1" count="41"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m/>
      </sharedItems>
    </cacheField>
    <cacheField name="Chocolate_Name" numFmtId="0">
      <sharedItems containsBlank="1" count="21">
        <s v="Dairy Milk"/>
        <s v="KitKat"/>
        <s v="5 Star"/>
        <s v="Munch"/>
        <s v="Perk"/>
        <s v="Snickers"/>
        <s v="Mars"/>
        <s v="Bounty"/>
        <s v="Ferrero Rocher"/>
        <s v="Toblerone"/>
        <s v="Dairy Milk Silk"/>
        <s v="KitKat Chunky"/>
        <s v="Milky Bar"/>
        <s v="Galaxy"/>
        <s v="Lindt"/>
        <s v="Hershey's"/>
        <s v="Amul Dark"/>
        <s v="Fuse"/>
        <s v="Bar One"/>
        <s v="Temptations"/>
        <m/>
      </sharedItems>
    </cacheField>
    <cacheField name="Type" numFmtId="0">
      <sharedItems containsBlank="1" count="9">
        <s v="Milk Chocolate"/>
        <s v="Wafer"/>
        <s v="Caramel"/>
        <s v="Nougat"/>
        <s v="Coconut"/>
        <s v="Premium"/>
        <s v="White Chocolate"/>
        <s v="Dark Chocolate"/>
        <m/>
      </sharedItems>
    </cacheField>
    <cacheField name="Quantity" numFmtId="0">
      <sharedItems containsString="0" containsBlank="1" containsNumber="1" containsInteger="1" minValue="4" maxValue="22"/>
    </cacheField>
    <cacheField name="Price_Per_Unit" numFmtId="0">
      <sharedItems containsString="0" containsBlank="1" containsNumber="1" containsInteger="1" minValue="10" maxValue="150"/>
    </cacheField>
    <cacheField name="Sales" numFmtId="0">
      <sharedItems containsString="0" containsBlank="1" containsNumber="1" containsInteger="1" minValue="190" maxValue="1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x v="0"/>
    <n v="12"/>
    <n v="50"/>
    <n v="600"/>
  </r>
  <r>
    <x v="1"/>
    <x v="1"/>
    <x v="1"/>
    <n v="15"/>
    <n v="20"/>
    <n v="300"/>
  </r>
  <r>
    <x v="2"/>
    <x v="2"/>
    <x v="2"/>
    <n v="10"/>
    <n v="25"/>
    <n v="250"/>
  </r>
  <r>
    <x v="3"/>
    <x v="3"/>
    <x v="1"/>
    <n v="18"/>
    <n v="15"/>
    <n v="270"/>
  </r>
  <r>
    <x v="4"/>
    <x v="4"/>
    <x v="1"/>
    <n v="20"/>
    <n v="10"/>
    <n v="200"/>
  </r>
  <r>
    <x v="5"/>
    <x v="5"/>
    <x v="3"/>
    <n v="8"/>
    <n v="45"/>
    <n v="360"/>
  </r>
  <r>
    <x v="6"/>
    <x v="6"/>
    <x v="3"/>
    <n v="9"/>
    <n v="50"/>
    <n v="450"/>
  </r>
  <r>
    <x v="7"/>
    <x v="7"/>
    <x v="4"/>
    <n v="7"/>
    <n v="55"/>
    <n v="385"/>
  </r>
  <r>
    <x v="8"/>
    <x v="8"/>
    <x v="5"/>
    <n v="5"/>
    <n v="100"/>
    <n v="500"/>
  </r>
  <r>
    <x v="9"/>
    <x v="9"/>
    <x v="5"/>
    <n v="4"/>
    <n v="120"/>
    <n v="480"/>
  </r>
  <r>
    <x v="10"/>
    <x v="10"/>
    <x v="0"/>
    <n v="11"/>
    <n v="80"/>
    <n v="880"/>
  </r>
  <r>
    <x v="11"/>
    <x v="11"/>
    <x v="1"/>
    <n v="13"/>
    <n v="30"/>
    <n v="390"/>
  </r>
  <r>
    <x v="12"/>
    <x v="12"/>
    <x v="6"/>
    <n v="14"/>
    <n v="25"/>
    <n v="350"/>
  </r>
  <r>
    <x v="13"/>
    <x v="13"/>
    <x v="0"/>
    <n v="9"/>
    <n v="60"/>
    <n v="540"/>
  </r>
  <r>
    <x v="14"/>
    <x v="14"/>
    <x v="7"/>
    <n v="6"/>
    <n v="150"/>
    <n v="900"/>
  </r>
  <r>
    <x v="15"/>
    <x v="15"/>
    <x v="0"/>
    <n v="10"/>
    <n v="70"/>
    <n v="700"/>
  </r>
  <r>
    <x v="16"/>
    <x v="16"/>
    <x v="7"/>
    <n v="12"/>
    <n v="40"/>
    <n v="480"/>
  </r>
  <r>
    <x v="17"/>
    <x v="17"/>
    <x v="2"/>
    <n v="16"/>
    <n v="25"/>
    <n v="400"/>
  </r>
  <r>
    <x v="18"/>
    <x v="18"/>
    <x v="2"/>
    <n v="15"/>
    <n v="20"/>
    <n v="300"/>
  </r>
  <r>
    <x v="19"/>
    <x v="19"/>
    <x v="5"/>
    <n v="7"/>
    <n v="90"/>
    <n v="630"/>
  </r>
  <r>
    <x v="20"/>
    <x v="0"/>
    <x v="0"/>
    <n v="13"/>
    <n v="50"/>
    <n v="650"/>
  </r>
  <r>
    <x v="21"/>
    <x v="1"/>
    <x v="1"/>
    <n v="17"/>
    <n v="20"/>
    <n v="340"/>
  </r>
  <r>
    <x v="22"/>
    <x v="2"/>
    <x v="2"/>
    <n v="11"/>
    <n v="25"/>
    <n v="275"/>
  </r>
  <r>
    <x v="23"/>
    <x v="3"/>
    <x v="1"/>
    <n v="22"/>
    <n v="15"/>
    <n v="330"/>
  </r>
  <r>
    <x v="24"/>
    <x v="4"/>
    <x v="1"/>
    <n v="19"/>
    <n v="10"/>
    <n v="190"/>
  </r>
  <r>
    <x v="25"/>
    <x v="5"/>
    <x v="3"/>
    <n v="9"/>
    <n v="45"/>
    <n v="405"/>
  </r>
  <r>
    <x v="26"/>
    <x v="6"/>
    <x v="3"/>
    <n v="8"/>
    <n v="50"/>
    <n v="400"/>
  </r>
  <r>
    <x v="27"/>
    <x v="7"/>
    <x v="4"/>
    <n v="6"/>
    <n v="55"/>
    <n v="330"/>
  </r>
  <r>
    <x v="28"/>
    <x v="8"/>
    <x v="5"/>
    <n v="4"/>
    <n v="100"/>
    <n v="400"/>
  </r>
  <r>
    <x v="29"/>
    <x v="9"/>
    <x v="5"/>
    <n v="5"/>
    <n v="120"/>
    <n v="600"/>
  </r>
  <r>
    <x v="30"/>
    <x v="10"/>
    <x v="0"/>
    <n v="12"/>
    <n v="80"/>
    <n v="960"/>
  </r>
  <r>
    <x v="31"/>
    <x v="11"/>
    <x v="1"/>
    <n v="14"/>
    <n v="30"/>
    <n v="420"/>
  </r>
  <r>
    <x v="32"/>
    <x v="12"/>
    <x v="6"/>
    <n v="15"/>
    <n v="25"/>
    <n v="375"/>
  </r>
  <r>
    <x v="33"/>
    <x v="13"/>
    <x v="0"/>
    <n v="10"/>
    <n v="60"/>
    <n v="600"/>
  </r>
  <r>
    <x v="34"/>
    <x v="14"/>
    <x v="7"/>
    <n v="7"/>
    <n v="150"/>
    <n v="1050"/>
  </r>
  <r>
    <x v="35"/>
    <x v="15"/>
    <x v="0"/>
    <n v="11"/>
    <n v="70"/>
    <n v="770"/>
  </r>
  <r>
    <x v="36"/>
    <x v="16"/>
    <x v="7"/>
    <n v="13"/>
    <n v="40"/>
    <n v="520"/>
  </r>
  <r>
    <x v="37"/>
    <x v="17"/>
    <x v="2"/>
    <n v="17"/>
    <n v="25"/>
    <n v="425"/>
  </r>
  <r>
    <x v="38"/>
    <x v="18"/>
    <x v="2"/>
    <n v="18"/>
    <n v="20"/>
    <n v="360"/>
  </r>
  <r>
    <x v="39"/>
    <x v="19"/>
    <x v="5"/>
    <n v="8"/>
    <n v="90"/>
    <n v="720"/>
  </r>
  <r>
    <x v="40"/>
    <x v="20"/>
    <x v="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2FC50-7BFD-4EAB-AFF0-51BCA07072E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5" firstHeaderRow="1" firstDataRow="1" firstDataCol="1"/>
  <pivotFields count="6">
    <pivotField showAll="0"/>
    <pivotField axis="axisRow" showAll="0">
      <items count="22">
        <item x="2"/>
        <item x="16"/>
        <item x="18"/>
        <item x="7"/>
        <item x="0"/>
        <item x="10"/>
        <item x="8"/>
        <item x="17"/>
        <item x="13"/>
        <item x="15"/>
        <item x="1"/>
        <item x="11"/>
        <item x="14"/>
        <item x="6"/>
        <item x="12"/>
        <item x="3"/>
        <item x="4"/>
        <item x="5"/>
        <item x="19"/>
        <item x="9"/>
        <item x="20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A8297-F70D-4863-8484-CF2068C551E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3" firstHeaderRow="1" firstDataRow="1" firstDataCol="1"/>
  <pivotFields count="6">
    <pivotField showAll="0"/>
    <pivotField showAll="0"/>
    <pivotField axis="axisRow" showAll="0">
      <items count="10">
        <item x="2"/>
        <item x="4"/>
        <item x="7"/>
        <item x="0"/>
        <item x="3"/>
        <item x="5"/>
        <item x="1"/>
        <item x="6"/>
        <item x="8"/>
        <item t="default"/>
      </items>
    </pivotField>
    <pivotField showAll="0"/>
    <pivotField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5" baseField="0" baseItem="0"/>
  </dataFields>
  <chartFormats count="1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53C23-0C70-47C8-8594-B10E71A936B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45" firstHeaderRow="1" firstDataRow="1" firstDataCol="1"/>
  <pivotFields count="6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23D3-707D-4942-8FE8-CF2E94CB899F}">
  <dimension ref="A3:B25"/>
  <sheetViews>
    <sheetView workbookViewId="0">
      <selection activeCell="M6" sqref="M6"/>
    </sheetView>
  </sheetViews>
  <sheetFormatPr defaultRowHeight="14.5" x14ac:dyDescent="0.35"/>
  <cols>
    <col min="1" max="1" width="13.36328125" bestFit="1" customWidth="1"/>
    <col min="2" max="2" width="11.26953125" bestFit="1" customWidth="1"/>
  </cols>
  <sheetData>
    <row r="3" spans="1:2" x14ac:dyDescent="0.35">
      <c r="A3" s="3" t="s">
        <v>77</v>
      </c>
      <c r="B3" t="s">
        <v>80</v>
      </c>
    </row>
    <row r="4" spans="1:2" x14ac:dyDescent="0.35">
      <c r="A4" s="4" t="s">
        <v>13</v>
      </c>
      <c r="B4" s="5">
        <v>525</v>
      </c>
    </row>
    <row r="5" spans="1:2" x14ac:dyDescent="0.35">
      <c r="A5" s="4" t="s">
        <v>47</v>
      </c>
      <c r="B5" s="5">
        <v>1000</v>
      </c>
    </row>
    <row r="6" spans="1:2" x14ac:dyDescent="0.35">
      <c r="A6" s="4" t="s">
        <v>51</v>
      </c>
      <c r="B6" s="5">
        <v>660</v>
      </c>
    </row>
    <row r="7" spans="1:2" x14ac:dyDescent="0.35">
      <c r="A7" s="4" t="s">
        <v>25</v>
      </c>
      <c r="B7" s="5">
        <v>715</v>
      </c>
    </row>
    <row r="8" spans="1:2" x14ac:dyDescent="0.35">
      <c r="A8" s="4" t="s">
        <v>7</v>
      </c>
      <c r="B8" s="5">
        <v>1250</v>
      </c>
    </row>
    <row r="9" spans="1:2" x14ac:dyDescent="0.35">
      <c r="A9" s="4" t="s">
        <v>33</v>
      </c>
      <c r="B9" s="5">
        <v>1840</v>
      </c>
    </row>
    <row r="10" spans="1:2" x14ac:dyDescent="0.35">
      <c r="A10" s="4" t="s">
        <v>28</v>
      </c>
      <c r="B10" s="5">
        <v>900</v>
      </c>
    </row>
    <row r="11" spans="1:2" x14ac:dyDescent="0.35">
      <c r="A11" s="4" t="s">
        <v>49</v>
      </c>
      <c r="B11" s="5">
        <v>825</v>
      </c>
    </row>
    <row r="12" spans="1:2" x14ac:dyDescent="0.35">
      <c r="A12" s="4" t="s">
        <v>40</v>
      </c>
      <c r="B12" s="5">
        <v>1140</v>
      </c>
    </row>
    <row r="13" spans="1:2" x14ac:dyDescent="0.35">
      <c r="A13" s="4" t="s">
        <v>45</v>
      </c>
      <c r="B13" s="5">
        <v>1470</v>
      </c>
    </row>
    <row r="14" spans="1:2" x14ac:dyDescent="0.35">
      <c r="A14" s="4" t="s">
        <v>10</v>
      </c>
      <c r="B14" s="5">
        <v>640</v>
      </c>
    </row>
    <row r="15" spans="1:2" x14ac:dyDescent="0.35">
      <c r="A15" s="4" t="s">
        <v>35</v>
      </c>
      <c r="B15" s="5">
        <v>810</v>
      </c>
    </row>
    <row r="16" spans="1:2" x14ac:dyDescent="0.35">
      <c r="A16" s="4" t="s">
        <v>42</v>
      </c>
      <c r="B16" s="5">
        <v>1950</v>
      </c>
    </row>
    <row r="17" spans="1:2" x14ac:dyDescent="0.35">
      <c r="A17" s="4" t="s">
        <v>23</v>
      </c>
      <c r="B17" s="5">
        <v>850</v>
      </c>
    </row>
    <row r="18" spans="1:2" x14ac:dyDescent="0.35">
      <c r="A18" s="4" t="s">
        <v>37</v>
      </c>
      <c r="B18" s="5">
        <v>725</v>
      </c>
    </row>
    <row r="19" spans="1:2" x14ac:dyDescent="0.35">
      <c r="A19" s="4" t="s">
        <v>16</v>
      </c>
      <c r="B19" s="5">
        <v>600</v>
      </c>
    </row>
    <row r="20" spans="1:2" x14ac:dyDescent="0.35">
      <c r="A20" s="4" t="s">
        <v>18</v>
      </c>
      <c r="B20" s="5">
        <v>390</v>
      </c>
    </row>
    <row r="21" spans="1:2" x14ac:dyDescent="0.35">
      <c r="A21" s="4" t="s">
        <v>20</v>
      </c>
      <c r="B21" s="5">
        <v>765</v>
      </c>
    </row>
    <row r="22" spans="1:2" x14ac:dyDescent="0.35">
      <c r="A22" s="4" t="s">
        <v>53</v>
      </c>
      <c r="B22" s="5">
        <v>1350</v>
      </c>
    </row>
    <row r="23" spans="1:2" x14ac:dyDescent="0.35">
      <c r="A23" s="4" t="s">
        <v>31</v>
      </c>
      <c r="B23" s="5">
        <v>1080</v>
      </c>
    </row>
    <row r="24" spans="1:2" x14ac:dyDescent="0.35">
      <c r="A24" s="4" t="s">
        <v>78</v>
      </c>
      <c r="B24" s="5"/>
    </row>
    <row r="25" spans="1:2" x14ac:dyDescent="0.35">
      <c r="A25" s="4" t="s">
        <v>79</v>
      </c>
      <c r="B25" s="5">
        <v>19485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761D-9862-4A36-8CC2-C35AA150E199}">
  <dimension ref="A3:B13"/>
  <sheetViews>
    <sheetView workbookViewId="0">
      <selection activeCell="M6" sqref="M6"/>
    </sheetView>
  </sheetViews>
  <sheetFormatPr defaultRowHeight="14.5" x14ac:dyDescent="0.35"/>
  <cols>
    <col min="1" max="1" width="14.6328125" bestFit="1" customWidth="1"/>
    <col min="2" max="2" width="11.26953125" bestFit="1" customWidth="1"/>
  </cols>
  <sheetData>
    <row r="3" spans="1:2" x14ac:dyDescent="0.35">
      <c r="A3" s="3" t="s">
        <v>77</v>
      </c>
      <c r="B3" t="s">
        <v>80</v>
      </c>
    </row>
    <row r="4" spans="1:2" x14ac:dyDescent="0.35">
      <c r="A4" s="4" t="s">
        <v>14</v>
      </c>
      <c r="B4" s="5">
        <v>2010</v>
      </c>
    </row>
    <row r="5" spans="1:2" x14ac:dyDescent="0.35">
      <c r="A5" s="4" t="s">
        <v>26</v>
      </c>
      <c r="B5" s="5">
        <v>715</v>
      </c>
    </row>
    <row r="6" spans="1:2" x14ac:dyDescent="0.35">
      <c r="A6" s="4" t="s">
        <v>43</v>
      </c>
      <c r="B6" s="5">
        <v>2950</v>
      </c>
    </row>
    <row r="7" spans="1:2" x14ac:dyDescent="0.35">
      <c r="A7" s="4" t="s">
        <v>8</v>
      </c>
      <c r="B7" s="5">
        <v>5700</v>
      </c>
    </row>
    <row r="8" spans="1:2" x14ac:dyDescent="0.35">
      <c r="A8" s="4" t="s">
        <v>21</v>
      </c>
      <c r="B8" s="5">
        <v>1615</v>
      </c>
    </row>
    <row r="9" spans="1:2" x14ac:dyDescent="0.35">
      <c r="A9" s="4" t="s">
        <v>29</v>
      </c>
      <c r="B9" s="5">
        <v>3330</v>
      </c>
    </row>
    <row r="10" spans="1:2" x14ac:dyDescent="0.35">
      <c r="A10" s="4" t="s">
        <v>11</v>
      </c>
      <c r="B10" s="5">
        <v>2440</v>
      </c>
    </row>
    <row r="11" spans="1:2" x14ac:dyDescent="0.35">
      <c r="A11" s="4" t="s">
        <v>38</v>
      </c>
      <c r="B11" s="5">
        <v>725</v>
      </c>
    </row>
    <row r="12" spans="1:2" x14ac:dyDescent="0.35">
      <c r="A12" s="4" t="s">
        <v>78</v>
      </c>
      <c r="B12" s="5"/>
    </row>
    <row r="13" spans="1:2" x14ac:dyDescent="0.35">
      <c r="A13" s="4" t="s">
        <v>79</v>
      </c>
      <c r="B13" s="5">
        <v>19485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96CA-F7C8-4684-84C4-22341C867316}">
  <dimension ref="A3:B45"/>
  <sheetViews>
    <sheetView topLeftCell="A2" workbookViewId="0">
      <selection activeCell="L7" sqref="L7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77</v>
      </c>
      <c r="B3" t="s">
        <v>80</v>
      </c>
    </row>
    <row r="4" spans="1:2" x14ac:dyDescent="0.35">
      <c r="A4" s="4" t="s">
        <v>6</v>
      </c>
      <c r="B4" s="5">
        <v>600</v>
      </c>
    </row>
    <row r="5" spans="1:2" x14ac:dyDescent="0.35">
      <c r="A5" s="4" t="s">
        <v>9</v>
      </c>
      <c r="B5" s="5">
        <v>300</v>
      </c>
    </row>
    <row r="6" spans="1:2" x14ac:dyDescent="0.35">
      <c r="A6" s="4" t="s">
        <v>12</v>
      </c>
      <c r="B6" s="5">
        <v>250</v>
      </c>
    </row>
    <row r="7" spans="1:2" x14ac:dyDescent="0.35">
      <c r="A7" s="4" t="s">
        <v>15</v>
      </c>
      <c r="B7" s="5">
        <v>270</v>
      </c>
    </row>
    <row r="8" spans="1:2" x14ac:dyDescent="0.35">
      <c r="A8" s="4" t="s">
        <v>17</v>
      </c>
      <c r="B8" s="5">
        <v>200</v>
      </c>
    </row>
    <row r="9" spans="1:2" x14ac:dyDescent="0.35">
      <c r="A9" s="4" t="s">
        <v>19</v>
      </c>
      <c r="B9" s="5">
        <v>360</v>
      </c>
    </row>
    <row r="10" spans="1:2" x14ac:dyDescent="0.35">
      <c r="A10" s="4" t="s">
        <v>22</v>
      </c>
      <c r="B10" s="5">
        <v>450</v>
      </c>
    </row>
    <row r="11" spans="1:2" x14ac:dyDescent="0.35">
      <c r="A11" s="4" t="s">
        <v>24</v>
      </c>
      <c r="B11" s="5">
        <v>385</v>
      </c>
    </row>
    <row r="12" spans="1:2" x14ac:dyDescent="0.35">
      <c r="A12" s="4" t="s">
        <v>27</v>
      </c>
      <c r="B12" s="5">
        <v>500</v>
      </c>
    </row>
    <row r="13" spans="1:2" x14ac:dyDescent="0.35">
      <c r="A13" s="4" t="s">
        <v>30</v>
      </c>
      <c r="B13" s="5">
        <v>480</v>
      </c>
    </row>
    <row r="14" spans="1:2" x14ac:dyDescent="0.35">
      <c r="A14" s="4" t="s">
        <v>32</v>
      </c>
      <c r="B14" s="5">
        <v>880</v>
      </c>
    </row>
    <row r="15" spans="1:2" x14ac:dyDescent="0.35">
      <c r="A15" s="4" t="s">
        <v>34</v>
      </c>
      <c r="B15" s="5">
        <v>390</v>
      </c>
    </row>
    <row r="16" spans="1:2" x14ac:dyDescent="0.35">
      <c r="A16" s="4" t="s">
        <v>36</v>
      </c>
      <c r="B16" s="5">
        <v>350</v>
      </c>
    </row>
    <row r="17" spans="1:2" x14ac:dyDescent="0.35">
      <c r="A17" s="4" t="s">
        <v>39</v>
      </c>
      <c r="B17" s="5">
        <v>540</v>
      </c>
    </row>
    <row r="18" spans="1:2" x14ac:dyDescent="0.35">
      <c r="A18" s="4" t="s">
        <v>41</v>
      </c>
      <c r="B18" s="5">
        <v>900</v>
      </c>
    </row>
    <row r="19" spans="1:2" x14ac:dyDescent="0.35">
      <c r="A19" s="4" t="s">
        <v>44</v>
      </c>
      <c r="B19" s="5">
        <v>700</v>
      </c>
    </row>
    <row r="20" spans="1:2" x14ac:dyDescent="0.35">
      <c r="A20" s="4" t="s">
        <v>46</v>
      </c>
      <c r="B20" s="5">
        <v>480</v>
      </c>
    </row>
    <row r="21" spans="1:2" x14ac:dyDescent="0.35">
      <c r="A21" s="4" t="s">
        <v>48</v>
      </c>
      <c r="B21" s="5">
        <v>400</v>
      </c>
    </row>
    <row r="22" spans="1:2" x14ac:dyDescent="0.35">
      <c r="A22" s="4" t="s">
        <v>50</v>
      </c>
      <c r="B22" s="5">
        <v>300</v>
      </c>
    </row>
    <row r="23" spans="1:2" x14ac:dyDescent="0.35">
      <c r="A23" s="4" t="s">
        <v>52</v>
      </c>
      <c r="B23" s="5">
        <v>630</v>
      </c>
    </row>
    <row r="24" spans="1:2" x14ac:dyDescent="0.35">
      <c r="A24" s="4" t="s">
        <v>54</v>
      </c>
      <c r="B24" s="5">
        <v>650</v>
      </c>
    </row>
    <row r="25" spans="1:2" x14ac:dyDescent="0.35">
      <c r="A25" s="4" t="s">
        <v>55</v>
      </c>
      <c r="B25" s="5">
        <v>340</v>
      </c>
    </row>
    <row r="26" spans="1:2" x14ac:dyDescent="0.35">
      <c r="A26" s="4" t="s">
        <v>56</v>
      </c>
      <c r="B26" s="5">
        <v>275</v>
      </c>
    </row>
    <row r="27" spans="1:2" x14ac:dyDescent="0.35">
      <c r="A27" s="4" t="s">
        <v>57</v>
      </c>
      <c r="B27" s="5">
        <v>330</v>
      </c>
    </row>
    <row r="28" spans="1:2" x14ac:dyDescent="0.35">
      <c r="A28" s="4" t="s">
        <v>58</v>
      </c>
      <c r="B28" s="5">
        <v>190</v>
      </c>
    </row>
    <row r="29" spans="1:2" x14ac:dyDescent="0.35">
      <c r="A29" s="4" t="s">
        <v>59</v>
      </c>
      <c r="B29" s="5">
        <v>405</v>
      </c>
    </row>
    <row r="30" spans="1:2" x14ac:dyDescent="0.35">
      <c r="A30" s="4" t="s">
        <v>60</v>
      </c>
      <c r="B30" s="5">
        <v>400</v>
      </c>
    </row>
    <row r="31" spans="1:2" x14ac:dyDescent="0.35">
      <c r="A31" s="4" t="s">
        <v>61</v>
      </c>
      <c r="B31" s="5">
        <v>330</v>
      </c>
    </row>
    <row r="32" spans="1:2" x14ac:dyDescent="0.35">
      <c r="A32" s="4" t="s">
        <v>62</v>
      </c>
      <c r="B32" s="5">
        <v>400</v>
      </c>
    </row>
    <row r="33" spans="1:2" x14ac:dyDescent="0.35">
      <c r="A33" s="4" t="s">
        <v>63</v>
      </c>
      <c r="B33" s="5">
        <v>600</v>
      </c>
    </row>
    <row r="34" spans="1:2" x14ac:dyDescent="0.35">
      <c r="A34" s="4" t="s">
        <v>64</v>
      </c>
      <c r="B34" s="5">
        <v>960</v>
      </c>
    </row>
    <row r="35" spans="1:2" x14ac:dyDescent="0.35">
      <c r="A35" s="4" t="s">
        <v>65</v>
      </c>
      <c r="B35" s="5">
        <v>420</v>
      </c>
    </row>
    <row r="36" spans="1:2" x14ac:dyDescent="0.35">
      <c r="A36" s="4" t="s">
        <v>66</v>
      </c>
      <c r="B36" s="5">
        <v>375</v>
      </c>
    </row>
    <row r="37" spans="1:2" x14ac:dyDescent="0.35">
      <c r="A37" s="4" t="s">
        <v>67</v>
      </c>
      <c r="B37" s="5">
        <v>600</v>
      </c>
    </row>
    <row r="38" spans="1:2" x14ac:dyDescent="0.35">
      <c r="A38" s="4" t="s">
        <v>68</v>
      </c>
      <c r="B38" s="5">
        <v>1050</v>
      </c>
    </row>
    <row r="39" spans="1:2" x14ac:dyDescent="0.35">
      <c r="A39" s="4" t="s">
        <v>69</v>
      </c>
      <c r="B39" s="5">
        <v>770</v>
      </c>
    </row>
    <row r="40" spans="1:2" x14ac:dyDescent="0.35">
      <c r="A40" s="4" t="s">
        <v>70</v>
      </c>
      <c r="B40" s="5">
        <v>520</v>
      </c>
    </row>
    <row r="41" spans="1:2" x14ac:dyDescent="0.35">
      <c r="A41" s="4" t="s">
        <v>71</v>
      </c>
      <c r="B41" s="5">
        <v>425</v>
      </c>
    </row>
    <row r="42" spans="1:2" x14ac:dyDescent="0.35">
      <c r="A42" s="4" t="s">
        <v>72</v>
      </c>
      <c r="B42" s="5">
        <v>360</v>
      </c>
    </row>
    <row r="43" spans="1:2" x14ac:dyDescent="0.35">
      <c r="A43" s="4" t="s">
        <v>73</v>
      </c>
      <c r="B43" s="5">
        <v>720</v>
      </c>
    </row>
    <row r="44" spans="1:2" x14ac:dyDescent="0.35">
      <c r="A44" s="4" t="s">
        <v>78</v>
      </c>
      <c r="B44" s="5"/>
    </row>
    <row r="45" spans="1:2" x14ac:dyDescent="0.35">
      <c r="A45" s="4" t="s">
        <v>79</v>
      </c>
      <c r="B45" s="5">
        <v>19485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21" workbookViewId="0">
      <selection activeCell="H32" sqref="A1:XFD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12</v>
      </c>
      <c r="E2">
        <v>50</v>
      </c>
      <c r="F2">
        <v>600</v>
      </c>
    </row>
    <row r="3" spans="1:6" x14ac:dyDescent="0.35">
      <c r="A3" t="s">
        <v>9</v>
      </c>
      <c r="B3" t="s">
        <v>10</v>
      </c>
      <c r="C3" t="s">
        <v>11</v>
      </c>
      <c r="D3">
        <v>15</v>
      </c>
      <c r="E3">
        <v>20</v>
      </c>
      <c r="F3">
        <v>300</v>
      </c>
    </row>
    <row r="4" spans="1:6" x14ac:dyDescent="0.35">
      <c r="A4" t="s">
        <v>12</v>
      </c>
      <c r="B4" t="s">
        <v>13</v>
      </c>
      <c r="C4" t="s">
        <v>14</v>
      </c>
      <c r="D4">
        <v>10</v>
      </c>
      <c r="E4">
        <v>25</v>
      </c>
      <c r="F4">
        <v>250</v>
      </c>
    </row>
    <row r="5" spans="1:6" x14ac:dyDescent="0.35">
      <c r="A5" t="s">
        <v>15</v>
      </c>
      <c r="B5" t="s">
        <v>16</v>
      </c>
      <c r="C5" t="s">
        <v>11</v>
      </c>
      <c r="D5">
        <v>18</v>
      </c>
      <c r="E5">
        <v>15</v>
      </c>
      <c r="F5">
        <v>270</v>
      </c>
    </row>
    <row r="6" spans="1:6" x14ac:dyDescent="0.35">
      <c r="A6" t="s">
        <v>17</v>
      </c>
      <c r="B6" t="s">
        <v>18</v>
      </c>
      <c r="C6" t="s">
        <v>11</v>
      </c>
      <c r="D6">
        <v>20</v>
      </c>
      <c r="E6">
        <v>10</v>
      </c>
      <c r="F6">
        <v>200</v>
      </c>
    </row>
    <row r="7" spans="1:6" x14ac:dyDescent="0.35">
      <c r="A7" t="s">
        <v>19</v>
      </c>
      <c r="B7" t="s">
        <v>20</v>
      </c>
      <c r="C7" t="s">
        <v>21</v>
      </c>
      <c r="D7">
        <v>8</v>
      </c>
      <c r="E7">
        <v>45</v>
      </c>
      <c r="F7">
        <v>360</v>
      </c>
    </row>
    <row r="8" spans="1:6" x14ac:dyDescent="0.35">
      <c r="A8" t="s">
        <v>22</v>
      </c>
      <c r="B8" t="s">
        <v>23</v>
      </c>
      <c r="C8" t="s">
        <v>21</v>
      </c>
      <c r="D8">
        <v>9</v>
      </c>
      <c r="E8">
        <v>50</v>
      </c>
      <c r="F8">
        <v>450</v>
      </c>
    </row>
    <row r="9" spans="1:6" x14ac:dyDescent="0.35">
      <c r="A9" t="s">
        <v>24</v>
      </c>
      <c r="B9" t="s">
        <v>25</v>
      </c>
      <c r="C9" t="s">
        <v>26</v>
      </c>
      <c r="D9">
        <v>7</v>
      </c>
      <c r="E9">
        <v>55</v>
      </c>
      <c r="F9">
        <v>385</v>
      </c>
    </row>
    <row r="10" spans="1:6" x14ac:dyDescent="0.35">
      <c r="A10" t="s">
        <v>27</v>
      </c>
      <c r="B10" t="s">
        <v>28</v>
      </c>
      <c r="C10" t="s">
        <v>29</v>
      </c>
      <c r="D10">
        <v>5</v>
      </c>
      <c r="E10">
        <v>100</v>
      </c>
      <c r="F10">
        <v>500</v>
      </c>
    </row>
    <row r="11" spans="1:6" x14ac:dyDescent="0.35">
      <c r="A11" t="s">
        <v>30</v>
      </c>
      <c r="B11" t="s">
        <v>31</v>
      </c>
      <c r="C11" t="s">
        <v>29</v>
      </c>
      <c r="D11">
        <v>4</v>
      </c>
      <c r="E11">
        <v>120</v>
      </c>
      <c r="F11">
        <v>480</v>
      </c>
    </row>
    <row r="12" spans="1:6" x14ac:dyDescent="0.35">
      <c r="A12" t="s">
        <v>32</v>
      </c>
      <c r="B12" t="s">
        <v>33</v>
      </c>
      <c r="C12" t="s">
        <v>8</v>
      </c>
      <c r="D12">
        <v>11</v>
      </c>
      <c r="E12">
        <v>80</v>
      </c>
      <c r="F12">
        <v>880</v>
      </c>
    </row>
    <row r="13" spans="1:6" x14ac:dyDescent="0.35">
      <c r="A13" t="s">
        <v>34</v>
      </c>
      <c r="B13" t="s">
        <v>35</v>
      </c>
      <c r="C13" t="s">
        <v>11</v>
      </c>
      <c r="D13">
        <v>13</v>
      </c>
      <c r="E13">
        <v>30</v>
      </c>
      <c r="F13">
        <v>390</v>
      </c>
    </row>
    <row r="14" spans="1:6" x14ac:dyDescent="0.35">
      <c r="A14" t="s">
        <v>36</v>
      </c>
      <c r="B14" t="s">
        <v>37</v>
      </c>
      <c r="C14" t="s">
        <v>38</v>
      </c>
      <c r="D14">
        <v>14</v>
      </c>
      <c r="E14">
        <v>25</v>
      </c>
      <c r="F14">
        <v>350</v>
      </c>
    </row>
    <row r="15" spans="1:6" x14ac:dyDescent="0.35">
      <c r="A15" t="s">
        <v>39</v>
      </c>
      <c r="B15" t="s">
        <v>40</v>
      </c>
      <c r="C15" t="s">
        <v>8</v>
      </c>
      <c r="D15">
        <v>9</v>
      </c>
      <c r="E15">
        <v>60</v>
      </c>
      <c r="F15">
        <v>540</v>
      </c>
    </row>
    <row r="16" spans="1:6" x14ac:dyDescent="0.35">
      <c r="A16" t="s">
        <v>41</v>
      </c>
      <c r="B16" t="s">
        <v>42</v>
      </c>
      <c r="C16" t="s">
        <v>43</v>
      </c>
      <c r="D16">
        <v>6</v>
      </c>
      <c r="E16">
        <v>150</v>
      </c>
      <c r="F16">
        <v>900</v>
      </c>
    </row>
    <row r="17" spans="1:6" x14ac:dyDescent="0.35">
      <c r="A17" t="s">
        <v>44</v>
      </c>
      <c r="B17" t="s">
        <v>45</v>
      </c>
      <c r="C17" t="s">
        <v>8</v>
      </c>
      <c r="D17">
        <v>10</v>
      </c>
      <c r="E17">
        <v>70</v>
      </c>
      <c r="F17">
        <v>700</v>
      </c>
    </row>
    <row r="18" spans="1:6" x14ac:dyDescent="0.35">
      <c r="A18" t="s">
        <v>46</v>
      </c>
      <c r="B18" t="s">
        <v>47</v>
      </c>
      <c r="C18" t="s">
        <v>43</v>
      </c>
      <c r="D18">
        <v>12</v>
      </c>
      <c r="E18">
        <v>40</v>
      </c>
      <c r="F18">
        <v>480</v>
      </c>
    </row>
    <row r="19" spans="1:6" x14ac:dyDescent="0.35">
      <c r="A19" t="s">
        <v>48</v>
      </c>
      <c r="B19" t="s">
        <v>49</v>
      </c>
      <c r="C19" t="s">
        <v>14</v>
      </c>
      <c r="D19">
        <v>16</v>
      </c>
      <c r="E19">
        <v>25</v>
      </c>
      <c r="F19">
        <v>400</v>
      </c>
    </row>
    <row r="20" spans="1:6" x14ac:dyDescent="0.35">
      <c r="A20" t="s">
        <v>50</v>
      </c>
      <c r="B20" t="s">
        <v>51</v>
      </c>
      <c r="C20" t="s">
        <v>14</v>
      </c>
      <c r="D20">
        <v>15</v>
      </c>
      <c r="E20">
        <v>20</v>
      </c>
      <c r="F20">
        <v>300</v>
      </c>
    </row>
    <row r="21" spans="1:6" x14ac:dyDescent="0.35">
      <c r="A21" t="s">
        <v>52</v>
      </c>
      <c r="B21" t="s">
        <v>53</v>
      </c>
      <c r="C21" t="s">
        <v>29</v>
      </c>
      <c r="D21">
        <v>7</v>
      </c>
      <c r="E21">
        <v>90</v>
      </c>
      <c r="F21">
        <v>630</v>
      </c>
    </row>
    <row r="22" spans="1:6" x14ac:dyDescent="0.35">
      <c r="A22" t="s">
        <v>54</v>
      </c>
      <c r="B22" t="s">
        <v>7</v>
      </c>
      <c r="C22" t="s">
        <v>8</v>
      </c>
      <c r="D22">
        <v>13</v>
      </c>
      <c r="E22">
        <v>50</v>
      </c>
      <c r="F22">
        <v>650</v>
      </c>
    </row>
    <row r="23" spans="1:6" x14ac:dyDescent="0.35">
      <c r="A23" t="s">
        <v>55</v>
      </c>
      <c r="B23" t="s">
        <v>10</v>
      </c>
      <c r="C23" t="s">
        <v>11</v>
      </c>
      <c r="D23">
        <v>17</v>
      </c>
      <c r="E23">
        <v>20</v>
      </c>
      <c r="F23">
        <v>340</v>
      </c>
    </row>
    <row r="24" spans="1:6" x14ac:dyDescent="0.35">
      <c r="A24" t="s">
        <v>56</v>
      </c>
      <c r="B24" t="s">
        <v>13</v>
      </c>
      <c r="C24" t="s">
        <v>14</v>
      </c>
      <c r="D24">
        <v>11</v>
      </c>
      <c r="E24">
        <v>25</v>
      </c>
      <c r="F24">
        <v>275</v>
      </c>
    </row>
    <row r="25" spans="1:6" x14ac:dyDescent="0.35">
      <c r="A25" t="s">
        <v>57</v>
      </c>
      <c r="B25" t="s">
        <v>16</v>
      </c>
      <c r="C25" t="s">
        <v>11</v>
      </c>
      <c r="D25">
        <v>22</v>
      </c>
      <c r="E25">
        <v>15</v>
      </c>
      <c r="F25">
        <v>330</v>
      </c>
    </row>
    <row r="26" spans="1:6" x14ac:dyDescent="0.35">
      <c r="A26" t="s">
        <v>58</v>
      </c>
      <c r="B26" t="s">
        <v>18</v>
      </c>
      <c r="C26" t="s">
        <v>11</v>
      </c>
      <c r="D26">
        <v>19</v>
      </c>
      <c r="E26">
        <v>10</v>
      </c>
      <c r="F26">
        <v>190</v>
      </c>
    </row>
    <row r="27" spans="1:6" x14ac:dyDescent="0.35">
      <c r="A27" t="s">
        <v>59</v>
      </c>
      <c r="B27" t="s">
        <v>20</v>
      </c>
      <c r="C27" t="s">
        <v>21</v>
      </c>
      <c r="D27">
        <v>9</v>
      </c>
      <c r="E27">
        <v>45</v>
      </c>
      <c r="F27">
        <v>405</v>
      </c>
    </row>
    <row r="28" spans="1:6" x14ac:dyDescent="0.35">
      <c r="A28" t="s">
        <v>60</v>
      </c>
      <c r="B28" t="s">
        <v>23</v>
      </c>
      <c r="C28" t="s">
        <v>21</v>
      </c>
      <c r="D28">
        <v>8</v>
      </c>
      <c r="E28">
        <v>50</v>
      </c>
      <c r="F28">
        <v>400</v>
      </c>
    </row>
    <row r="29" spans="1:6" x14ac:dyDescent="0.35">
      <c r="A29" t="s">
        <v>61</v>
      </c>
      <c r="B29" t="s">
        <v>25</v>
      </c>
      <c r="C29" t="s">
        <v>26</v>
      </c>
      <c r="D29">
        <v>6</v>
      </c>
      <c r="E29">
        <v>55</v>
      </c>
      <c r="F29">
        <v>330</v>
      </c>
    </row>
    <row r="30" spans="1:6" x14ac:dyDescent="0.35">
      <c r="A30" t="s">
        <v>62</v>
      </c>
      <c r="B30" t="s">
        <v>28</v>
      </c>
      <c r="C30" t="s">
        <v>29</v>
      </c>
      <c r="D30">
        <v>4</v>
      </c>
      <c r="E30">
        <v>100</v>
      </c>
      <c r="F30">
        <v>400</v>
      </c>
    </row>
    <row r="31" spans="1:6" x14ac:dyDescent="0.35">
      <c r="A31" t="s">
        <v>63</v>
      </c>
      <c r="B31" t="s">
        <v>31</v>
      </c>
      <c r="C31" t="s">
        <v>29</v>
      </c>
      <c r="D31">
        <v>5</v>
      </c>
      <c r="E31">
        <v>120</v>
      </c>
      <c r="F31">
        <v>600</v>
      </c>
    </row>
    <row r="32" spans="1:6" x14ac:dyDescent="0.35">
      <c r="A32" t="s">
        <v>64</v>
      </c>
      <c r="B32" t="s">
        <v>33</v>
      </c>
      <c r="C32" t="s">
        <v>8</v>
      </c>
      <c r="D32">
        <v>12</v>
      </c>
      <c r="E32">
        <v>80</v>
      </c>
      <c r="F32">
        <v>960</v>
      </c>
    </row>
    <row r="33" spans="1:6" x14ac:dyDescent="0.35">
      <c r="A33" t="s">
        <v>65</v>
      </c>
      <c r="B33" t="s">
        <v>35</v>
      </c>
      <c r="C33" t="s">
        <v>11</v>
      </c>
      <c r="D33">
        <v>14</v>
      </c>
      <c r="E33">
        <v>30</v>
      </c>
      <c r="F33">
        <v>420</v>
      </c>
    </row>
    <row r="34" spans="1:6" x14ac:dyDescent="0.35">
      <c r="A34" t="s">
        <v>66</v>
      </c>
      <c r="B34" t="s">
        <v>37</v>
      </c>
      <c r="C34" t="s">
        <v>38</v>
      </c>
      <c r="D34">
        <v>15</v>
      </c>
      <c r="E34">
        <v>25</v>
      </c>
      <c r="F34">
        <v>375</v>
      </c>
    </row>
    <row r="35" spans="1:6" x14ac:dyDescent="0.35">
      <c r="A35" t="s">
        <v>67</v>
      </c>
      <c r="B35" t="s">
        <v>40</v>
      </c>
      <c r="C35" t="s">
        <v>8</v>
      </c>
      <c r="D35">
        <v>10</v>
      </c>
      <c r="E35">
        <v>60</v>
      </c>
      <c r="F35">
        <v>600</v>
      </c>
    </row>
    <row r="36" spans="1:6" x14ac:dyDescent="0.35">
      <c r="A36" t="s">
        <v>68</v>
      </c>
      <c r="B36" t="s">
        <v>42</v>
      </c>
      <c r="C36" t="s">
        <v>43</v>
      </c>
      <c r="D36">
        <v>7</v>
      </c>
      <c r="E36">
        <v>150</v>
      </c>
      <c r="F36">
        <v>1050</v>
      </c>
    </row>
    <row r="37" spans="1:6" x14ac:dyDescent="0.35">
      <c r="A37" t="s">
        <v>69</v>
      </c>
      <c r="B37" t="s">
        <v>45</v>
      </c>
      <c r="C37" t="s">
        <v>8</v>
      </c>
      <c r="D37">
        <v>11</v>
      </c>
      <c r="E37">
        <v>70</v>
      </c>
      <c r="F37">
        <v>770</v>
      </c>
    </row>
    <row r="38" spans="1:6" x14ac:dyDescent="0.35">
      <c r="A38" t="s">
        <v>70</v>
      </c>
      <c r="B38" t="s">
        <v>47</v>
      </c>
      <c r="C38" t="s">
        <v>43</v>
      </c>
      <c r="D38">
        <v>13</v>
      </c>
      <c r="E38">
        <v>40</v>
      </c>
      <c r="F38">
        <v>520</v>
      </c>
    </row>
    <row r="39" spans="1:6" x14ac:dyDescent="0.35">
      <c r="A39" t="s">
        <v>71</v>
      </c>
      <c r="B39" t="s">
        <v>49</v>
      </c>
      <c r="C39" t="s">
        <v>14</v>
      </c>
      <c r="D39">
        <v>17</v>
      </c>
      <c r="E39">
        <v>25</v>
      </c>
      <c r="F39">
        <v>425</v>
      </c>
    </row>
    <row r="40" spans="1:6" x14ac:dyDescent="0.35">
      <c r="A40" t="s">
        <v>72</v>
      </c>
      <c r="B40" t="s">
        <v>51</v>
      </c>
      <c r="C40" t="s">
        <v>14</v>
      </c>
      <c r="D40">
        <v>18</v>
      </c>
      <c r="E40">
        <v>20</v>
      </c>
      <c r="F40">
        <v>360</v>
      </c>
    </row>
    <row r="41" spans="1:6" x14ac:dyDescent="0.35">
      <c r="A41" t="s">
        <v>73</v>
      </c>
      <c r="B41" t="s">
        <v>53</v>
      </c>
      <c r="C41" t="s">
        <v>29</v>
      </c>
      <c r="D41">
        <v>8</v>
      </c>
      <c r="E41">
        <v>90</v>
      </c>
      <c r="F41">
        <v>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DED0-33E3-48B8-BA9F-0E55E13D3AA2}">
  <dimension ref="A1:R20"/>
  <sheetViews>
    <sheetView tabSelected="1" zoomScale="56" zoomScaleNormal="100" workbookViewId="0">
      <selection activeCell="S28" sqref="S28"/>
    </sheetView>
  </sheetViews>
  <sheetFormatPr defaultRowHeight="14.5" x14ac:dyDescent="0.35"/>
  <cols>
    <col min="1" max="1" width="19.6328125" style="1" customWidth="1"/>
    <col min="2" max="2" width="15" style="1" customWidth="1"/>
    <col min="3" max="3" width="8.7265625" style="1"/>
    <col min="4" max="4" width="17.81640625" style="1" customWidth="1"/>
    <col min="5" max="5" width="16.81640625" style="1" customWidth="1"/>
    <col min="6" max="6" width="8.7265625" style="1"/>
    <col min="7" max="7" width="19.26953125" style="1" customWidth="1"/>
    <col min="8" max="8" width="13.1796875" style="1" customWidth="1"/>
    <col min="9" max="16384" width="8.7265625" style="1"/>
  </cols>
  <sheetData>
    <row r="1" spans="1:18" x14ac:dyDescent="0.35">
      <c r="A1" s="6" t="s">
        <v>74</v>
      </c>
      <c r="B1" s="7">
        <f>SUM('Chocolate Sales Data'!F:F)</f>
        <v>19485</v>
      </c>
      <c r="D1" s="8" t="s">
        <v>75</v>
      </c>
      <c r="E1" s="9">
        <f>SUM('Chocolate Sales Data'!D:D)</f>
        <v>460</v>
      </c>
      <c r="G1" s="10" t="s">
        <v>76</v>
      </c>
      <c r="H1" s="11">
        <f>AVERAGE('Chocolate Sales Data'!F:F)</f>
        <v>487.125</v>
      </c>
    </row>
    <row r="2" spans="1:18" x14ac:dyDescent="0.35">
      <c r="A2" s="2"/>
    </row>
    <row r="3" spans="1:18" ht="24.5" x14ac:dyDescent="0.45">
      <c r="A3" s="13" t="s">
        <v>81</v>
      </c>
      <c r="B3" s="12"/>
      <c r="C3" s="12"/>
      <c r="D3" s="12"/>
      <c r="E3" s="12"/>
      <c r="F3" s="12"/>
      <c r="G3" s="12"/>
      <c r="H3" s="12"/>
    </row>
    <row r="6" spans="1:18" x14ac:dyDescent="0.35">
      <c r="N6" s="14" t="s">
        <v>82</v>
      </c>
      <c r="O6" s="14"/>
      <c r="P6" s="14"/>
      <c r="Q6" s="14"/>
      <c r="R6" s="14"/>
    </row>
    <row r="7" spans="1:18" x14ac:dyDescent="0.35">
      <c r="N7" s="14"/>
      <c r="O7" s="14"/>
      <c r="P7" s="14"/>
      <c r="Q7" s="14"/>
      <c r="R7" s="14"/>
    </row>
    <row r="8" spans="1:18" x14ac:dyDescent="0.35">
      <c r="N8" s="14"/>
      <c r="O8" s="14"/>
      <c r="P8" s="14"/>
      <c r="Q8" s="14"/>
      <c r="R8" s="14"/>
    </row>
    <row r="9" spans="1:18" x14ac:dyDescent="0.35">
      <c r="N9" s="14"/>
      <c r="O9" s="14"/>
      <c r="P9" s="14"/>
      <c r="Q9" s="14"/>
      <c r="R9" s="14"/>
    </row>
    <row r="10" spans="1:18" x14ac:dyDescent="0.35">
      <c r="N10" s="14"/>
      <c r="O10" s="14"/>
      <c r="P10" s="14"/>
      <c r="Q10" s="14"/>
      <c r="R10" s="14"/>
    </row>
    <row r="11" spans="1:18" x14ac:dyDescent="0.35">
      <c r="N11" s="14"/>
      <c r="O11" s="14"/>
      <c r="P11" s="14"/>
      <c r="Q11" s="14"/>
      <c r="R11" s="14"/>
    </row>
    <row r="12" spans="1:18" x14ac:dyDescent="0.35">
      <c r="N12" s="14"/>
      <c r="O12" s="14"/>
      <c r="P12" s="14"/>
      <c r="Q12" s="14"/>
      <c r="R12" s="14"/>
    </row>
    <row r="13" spans="1:18" x14ac:dyDescent="0.35">
      <c r="N13" s="14"/>
      <c r="O13" s="14"/>
      <c r="P13" s="14"/>
      <c r="Q13" s="14"/>
      <c r="R13" s="14"/>
    </row>
    <row r="14" spans="1:18" x14ac:dyDescent="0.35">
      <c r="N14" s="14"/>
      <c r="O14" s="14"/>
      <c r="P14" s="14"/>
      <c r="Q14" s="14"/>
      <c r="R14" s="14"/>
    </row>
    <row r="15" spans="1:18" x14ac:dyDescent="0.35">
      <c r="N15" s="14"/>
      <c r="O15" s="14"/>
      <c r="P15" s="14"/>
      <c r="Q15" s="14"/>
      <c r="R15" s="14"/>
    </row>
    <row r="16" spans="1:18" x14ac:dyDescent="0.35">
      <c r="N16" s="14"/>
      <c r="O16" s="14"/>
      <c r="P16" s="14"/>
      <c r="Q16" s="14"/>
      <c r="R16" s="14"/>
    </row>
    <row r="17" spans="14:18" x14ac:dyDescent="0.35">
      <c r="N17" s="14"/>
      <c r="O17" s="14"/>
      <c r="P17" s="14"/>
      <c r="Q17" s="14"/>
      <c r="R17" s="14"/>
    </row>
    <row r="18" spans="14:18" x14ac:dyDescent="0.35">
      <c r="N18" s="14"/>
      <c r="O18" s="14"/>
      <c r="P18" s="14"/>
      <c r="Q18" s="14"/>
      <c r="R18" s="14"/>
    </row>
    <row r="19" spans="14:18" x14ac:dyDescent="0.35">
      <c r="N19" s="14"/>
      <c r="O19" s="14"/>
      <c r="P19" s="14"/>
      <c r="Q19" s="14"/>
      <c r="R19" s="14"/>
    </row>
    <row r="20" spans="14:18" x14ac:dyDescent="0.35">
      <c r="N20" s="14"/>
      <c r="O20" s="14"/>
      <c r="P20" s="14"/>
      <c r="Q20" s="14"/>
      <c r="R20" s="14"/>
    </row>
  </sheetData>
  <mergeCells count="2">
    <mergeCell ref="A3:H3"/>
    <mergeCell ref="N6:R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Selling Chocolates</vt:lpstr>
      <vt:lpstr>Sales by Type</vt:lpstr>
      <vt:lpstr>Sales Trend</vt:lpstr>
      <vt:lpstr>Chocolate Sales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 PM</cp:lastModifiedBy>
  <dcterms:created xsi:type="dcterms:W3CDTF">2026-06-08T09:15:10Z</dcterms:created>
  <dcterms:modified xsi:type="dcterms:W3CDTF">2026-06-08T10:12:36Z</dcterms:modified>
</cp:coreProperties>
</file>