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eethi\Downloads\"/>
    </mc:Choice>
  </mc:AlternateContent>
  <xr:revisionPtr revIDLastSave="0" documentId="13_ncr:1_{9FE8914A-3CD1-4B2D-938E-3E10A258EBB6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Customer Segmentation" sheetId="3" r:id="rId1"/>
    <sheet name="Customer Preferences" sheetId="4" r:id="rId2"/>
    <sheet name="Purchase by City" sheetId="5" r:id="rId3"/>
    <sheet name="Customer Data" sheetId="1" r:id="rId4"/>
    <sheet name="Dashboard" sheetId="2" r:id="rId5"/>
  </sheets>
  <calcPr calcId="191029"/>
  <pivotCaches>
    <pivotCache cacheId="7" r:id="rId6"/>
  </pivotCaches>
</workbook>
</file>

<file path=xl/calcChain.xml><?xml version="1.0" encoding="utf-8"?>
<calcChain xmlns="http://schemas.openxmlformats.org/spreadsheetml/2006/main">
  <c r="B1" i="2" l="1"/>
  <c r="E1" i="2"/>
  <c r="H1" i="2"/>
</calcChain>
</file>

<file path=xl/sharedStrings.xml><?xml version="1.0" encoding="utf-8"?>
<sst xmlns="http://schemas.openxmlformats.org/spreadsheetml/2006/main" count="276" uniqueCount="113">
  <si>
    <t>Customer_ID</t>
  </si>
  <si>
    <t>Name</t>
  </si>
  <si>
    <t>Age</t>
  </si>
  <si>
    <t>Gender</t>
  </si>
  <si>
    <t>City</t>
  </si>
  <si>
    <t>Purchase_Amount</t>
  </si>
  <si>
    <t>Orders</t>
  </si>
  <si>
    <t>Preferred_Category</t>
  </si>
  <si>
    <t>Customer_Segment</t>
  </si>
  <si>
    <t>C001</t>
  </si>
  <si>
    <t>Aarav</t>
  </si>
  <si>
    <t>Male</t>
  </si>
  <si>
    <t>Bangalore</t>
  </si>
  <si>
    <t>Electronics</t>
  </si>
  <si>
    <t>High Value</t>
  </si>
  <si>
    <t>C002</t>
  </si>
  <si>
    <t>Diya</t>
  </si>
  <si>
    <t>Female</t>
  </si>
  <si>
    <t>Coimbatore</t>
  </si>
  <si>
    <t>Home</t>
  </si>
  <si>
    <t>C003</t>
  </si>
  <si>
    <t>Rahul</t>
  </si>
  <si>
    <t>Medium Value</t>
  </si>
  <si>
    <t>C004</t>
  </si>
  <si>
    <t>Ananya</t>
  </si>
  <si>
    <t>Hyderabad</t>
  </si>
  <si>
    <t>Fashion</t>
  </si>
  <si>
    <t>C005</t>
  </si>
  <si>
    <t>Kiran</t>
  </si>
  <si>
    <t>Groceries</t>
  </si>
  <si>
    <t>C006</t>
  </si>
  <si>
    <t>Sneha</t>
  </si>
  <si>
    <t>C007</t>
  </si>
  <si>
    <t>Vikram</t>
  </si>
  <si>
    <t>Chennai</t>
  </si>
  <si>
    <t>C008</t>
  </si>
  <si>
    <t>Priya</t>
  </si>
  <si>
    <t>Beauty</t>
  </si>
  <si>
    <t>C009</t>
  </si>
  <si>
    <t>Arjun</t>
  </si>
  <si>
    <t>Kochi</t>
  </si>
  <si>
    <t>C010</t>
  </si>
  <si>
    <t>Meera</t>
  </si>
  <si>
    <t>C011</t>
  </si>
  <si>
    <t>Rohan</t>
  </si>
  <si>
    <t>C012</t>
  </si>
  <si>
    <t>Kavya</t>
  </si>
  <si>
    <t>C013</t>
  </si>
  <si>
    <t>Aditya</t>
  </si>
  <si>
    <t>C014</t>
  </si>
  <si>
    <t>Nisha</t>
  </si>
  <si>
    <t>C015</t>
  </si>
  <si>
    <t>Sanjay</t>
  </si>
  <si>
    <t>C016</t>
  </si>
  <si>
    <t>Pooja</t>
  </si>
  <si>
    <t>C017</t>
  </si>
  <si>
    <t>Manoj</t>
  </si>
  <si>
    <t>Low Value</t>
  </si>
  <si>
    <t>C018</t>
  </si>
  <si>
    <t>Aisha</t>
  </si>
  <si>
    <t>C019</t>
  </si>
  <si>
    <t>Varun</t>
  </si>
  <si>
    <t>C020</t>
  </si>
  <si>
    <t>Neha</t>
  </si>
  <si>
    <t>C021</t>
  </si>
  <si>
    <t>Akash</t>
  </si>
  <si>
    <t>C022</t>
  </si>
  <si>
    <t>Divya</t>
  </si>
  <si>
    <t>C023</t>
  </si>
  <si>
    <t>Suresh</t>
  </si>
  <si>
    <t>C024</t>
  </si>
  <si>
    <t>Isha</t>
  </si>
  <si>
    <t>C025</t>
  </si>
  <si>
    <t>Karthik</t>
  </si>
  <si>
    <t>C026</t>
  </si>
  <si>
    <t>Lavanya</t>
  </si>
  <si>
    <t>C027</t>
  </si>
  <si>
    <t>Ritesh</t>
  </si>
  <si>
    <t>C028</t>
  </si>
  <si>
    <t>Shreya</t>
  </si>
  <si>
    <t>C029</t>
  </si>
  <si>
    <t>Harish</t>
  </si>
  <si>
    <t>C030</t>
  </si>
  <si>
    <t>Anu</t>
  </si>
  <si>
    <t>C031</t>
  </si>
  <si>
    <t>Yash</t>
  </si>
  <si>
    <t>C032</t>
  </si>
  <si>
    <t>Swathi</t>
  </si>
  <si>
    <t>C033</t>
  </si>
  <si>
    <t>Nitin</t>
  </si>
  <si>
    <t>C034</t>
  </si>
  <si>
    <t>Riya</t>
  </si>
  <si>
    <t>C035</t>
  </si>
  <si>
    <t>Surya</t>
  </si>
  <si>
    <t>C036</t>
  </si>
  <si>
    <t>Keerthi</t>
  </si>
  <si>
    <t>C037</t>
  </si>
  <si>
    <t>Ajay</t>
  </si>
  <si>
    <t>C038</t>
  </si>
  <si>
    <t>Madhavi</t>
  </si>
  <si>
    <t>C039</t>
  </si>
  <si>
    <t>Rakesh</t>
  </si>
  <si>
    <t>C040</t>
  </si>
  <si>
    <t>Bhavya</t>
  </si>
  <si>
    <t>Total Customers</t>
  </si>
  <si>
    <t>High Value Customers</t>
  </si>
  <si>
    <t>Average Purchase</t>
  </si>
  <si>
    <t>CUSTOMER SEGMENTATION DASHBOARD</t>
  </si>
  <si>
    <t>Row Labels</t>
  </si>
  <si>
    <t>Grand Total</t>
  </si>
  <si>
    <t>Count of Customer_ID</t>
  </si>
  <si>
    <t>Sum of Purchase_Amount</t>
  </si>
  <si>
    <r>
      <rPr>
        <b/>
        <sz val="11"/>
        <color rgb="FFFF0000"/>
        <rFont val="Calibri"/>
        <family val="2"/>
        <scheme val="minor"/>
      </rPr>
      <t>Key Insights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>High Value customers account for the largest customer segment.</t>
    </r>
    <r>
      <rPr>
        <b/>
        <sz val="11"/>
        <color theme="1"/>
        <rFont val="Calibri"/>
        <family val="2"/>
        <scheme val="minor"/>
      </rPr>
      <t xml:space="preserve">
Beauty products are the most preferred category.
</t>
    </r>
    <r>
      <rPr>
        <b/>
        <sz val="11"/>
        <color theme="8" tint="-0.499984740745262"/>
        <rFont val="Calibri"/>
        <family val="2"/>
        <scheme val="minor"/>
      </rPr>
      <t>Purchase amounts vary across cities, indicating different customer spending patterns.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</si>
</sst>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Berlin Sans FB Demi"/>
      <family val="2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[Customer_Segmentation_Dataset.xlsx]Customer Segmentation!PivotTable1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Segmentation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Segmentation'!$B$3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'Customer Segmentation'!$B$4:$B$7</c:f>
              <c:numCache>
                <c:formatCode>General</c:formatCode>
                <c:ptCount val="3"/>
                <c:pt idx="0">
                  <c:v>21</c:v>
                </c:pt>
                <c:pt idx="1">
                  <c:v>8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7-49E2-85AC-D697AE6283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375664"/>
        <c:axId val="25376144"/>
      </c:barChart>
      <c:catAx>
        <c:axId val="2537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6144"/>
        <c:crosses val="autoZero"/>
        <c:auto val="1"/>
        <c:lblAlgn val="ctr"/>
        <c:lblOffset val="100"/>
        <c:noMultiLvlLbl val="0"/>
      </c:catAx>
      <c:valAx>
        <c:axId val="253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[Customer_Segmentation_Dataset.xlsx]Customer Preferences!PivotTable2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Preferences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'Customer Preferences'!$B$3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'Customer Preferences'!$A$4:$A$9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Groceries</c:v>
                </c:pt>
                <c:pt idx="4">
                  <c:v>Home</c:v>
                </c:pt>
              </c:strCache>
            </c:strRef>
          </c:cat>
          <c:val>
            <c:numRef>
              <c:f>'Customer Preferences'!$B$4:$B$9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D-46D0-8F77-7CE62FA2C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[Customer_Segmentation_Dataset.xlsx]Purchase by City!PivotTable3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Purchase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'Purchase by City'!$A$4:$A$9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</c:strCache>
            </c:strRef>
          </c:cat>
          <c:val>
            <c:numRef>
              <c:f>'Purchase by City'!$B$4:$B$9</c:f>
              <c:numCache>
                <c:formatCode>General</c:formatCode>
                <c:ptCount val="5"/>
                <c:pt idx="0">
                  <c:v>34018</c:v>
                </c:pt>
                <c:pt idx="1">
                  <c:v>17342</c:v>
                </c:pt>
                <c:pt idx="2">
                  <c:v>40404</c:v>
                </c:pt>
                <c:pt idx="3">
                  <c:v>45102</c:v>
                </c:pt>
                <c:pt idx="4">
                  <c:v>18928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0-4A6C-89A7-6AF70CEC4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4247616"/>
        <c:axId val="234238496"/>
      </c:barChart>
      <c:catAx>
        <c:axId val="23424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38496"/>
        <c:crosses val="autoZero"/>
        <c:auto val="1"/>
        <c:lblAlgn val="ctr"/>
        <c:lblOffset val="100"/>
        <c:noMultiLvlLbl val="0"/>
      </c:catAx>
      <c:valAx>
        <c:axId val="2342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[Customer_Segmentation_Dataset.xlsx]Customer Segmentation!PivotTable1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Segmentation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Segmentation'!$B$3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'Customer Segmentation'!$B$4:$B$7</c:f>
              <c:numCache>
                <c:formatCode>General</c:formatCode>
                <c:ptCount val="3"/>
                <c:pt idx="0">
                  <c:v>21</c:v>
                </c:pt>
                <c:pt idx="1">
                  <c:v>8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4-473B-B31D-662D4414C8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375664"/>
        <c:axId val="25376144"/>
      </c:barChart>
      <c:catAx>
        <c:axId val="2537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6144"/>
        <c:crosses val="autoZero"/>
        <c:auto val="1"/>
        <c:lblAlgn val="ctr"/>
        <c:lblOffset val="100"/>
        <c:noMultiLvlLbl val="0"/>
      </c:catAx>
      <c:valAx>
        <c:axId val="253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[Customer_Segmentation_Dataset.xlsx]Customer Preferences!PivotTable2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Preferences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'Customer Preferences'!$B$3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DA0-4B66-8332-37D4F70B335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DA0-4B66-8332-37D4F70B335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DA0-4B66-8332-37D4F70B335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DA0-4B66-8332-37D4F70B335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DA0-4B66-8332-37D4F70B335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ADA0-4B66-8332-37D4F70B335E}"/>
              </c:ext>
            </c:extLst>
          </c:dPt>
          <c:cat>
            <c:strRef>
              <c:f>'Customer Preferences'!$A$4:$A$9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Groceries</c:v>
                </c:pt>
                <c:pt idx="4">
                  <c:v>Home</c:v>
                </c:pt>
              </c:strCache>
            </c:strRef>
          </c:cat>
          <c:val>
            <c:numRef>
              <c:f>'Customer Preferences'!$B$4:$B$9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A0-4B66-8332-37D4F70B3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[Customer_Segmentation_Dataset.xlsx]Purchase by City!PivotTable3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Purchase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'Purchase by City'!$A$4:$A$9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</c:strCache>
            </c:strRef>
          </c:cat>
          <c:val>
            <c:numRef>
              <c:f>'Purchase by City'!$B$4:$B$9</c:f>
              <c:numCache>
                <c:formatCode>General</c:formatCode>
                <c:ptCount val="5"/>
                <c:pt idx="0">
                  <c:v>34018</c:v>
                </c:pt>
                <c:pt idx="1">
                  <c:v>17342</c:v>
                </c:pt>
                <c:pt idx="2">
                  <c:v>40404</c:v>
                </c:pt>
                <c:pt idx="3">
                  <c:v>45102</c:v>
                </c:pt>
                <c:pt idx="4">
                  <c:v>18928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1-4049-8091-687BD5935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4247616"/>
        <c:axId val="234238496"/>
      </c:barChart>
      <c:catAx>
        <c:axId val="23424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38496"/>
        <c:crosses val="autoZero"/>
        <c:auto val="1"/>
        <c:lblAlgn val="ctr"/>
        <c:lblOffset val="100"/>
        <c:noMultiLvlLbl val="0"/>
      </c:catAx>
      <c:valAx>
        <c:axId val="2342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12700</xdr:rowOff>
    </xdr:from>
    <xdr:to>
      <xdr:col>10</xdr:col>
      <xdr:colOff>333375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4037A-555D-35A1-1200-4ABEC4B0D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2</xdr:row>
      <xdr:rowOff>6350</xdr:rowOff>
    </xdr:from>
    <xdr:to>
      <xdr:col>10</xdr:col>
      <xdr:colOff>320675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584FF-C3AC-23E4-C6CA-AFADEFF38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</xdr:row>
      <xdr:rowOff>25400</xdr:rowOff>
    </xdr:from>
    <xdr:to>
      <xdr:col>10</xdr:col>
      <xdr:colOff>352425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94518-7502-C0AA-5CCD-81BE13E9F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4</xdr:row>
      <xdr:rowOff>63500</xdr:rowOff>
    </xdr:from>
    <xdr:to>
      <xdr:col>3</xdr:col>
      <xdr:colOff>1314450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DF541-8F4D-4909-B3C0-D7FBD1982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4</xdr:row>
      <xdr:rowOff>38100</xdr:rowOff>
    </xdr:from>
    <xdr:to>
      <xdr:col>9</xdr:col>
      <xdr:colOff>298450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443983-3984-4BA4-B039-0F22AA3CA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39450</xdr:colOff>
      <xdr:row>20</xdr:row>
      <xdr:rowOff>23779</xdr:rowOff>
    </xdr:from>
    <xdr:to>
      <xdr:col>6</xdr:col>
      <xdr:colOff>375866</xdr:colOff>
      <xdr:row>35</xdr:row>
      <xdr:rowOff>4729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F6E644-AA72-4A5B-831A-103BEBBB9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ethi" refreshedDate="46182.613161805559" createdVersion="8" refreshedVersion="8" minRefreshableVersion="3" recordCount="40" xr:uid="{37D38D71-8ECD-4F59-B46D-8AE8BDF94A18}">
  <cacheSource type="worksheet">
    <worksheetSource ref="A1:I41" sheet="Customer Data"/>
  </cacheSource>
  <cacheFields count="9">
    <cacheField name="Customer_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21" maxValue="49"/>
    </cacheField>
    <cacheField name="Gender" numFmtId="0">
      <sharedItems/>
    </cacheField>
    <cacheField name="City" numFmtId="0">
      <sharedItems count="5">
        <s v="Bangalore"/>
        <s v="Coimbatore"/>
        <s v="Hyderabad"/>
        <s v="Chennai"/>
        <s v="Kochi"/>
      </sharedItems>
    </cacheField>
    <cacheField name="Purchase_Amount" numFmtId="0">
      <sharedItems containsSemiMixedTypes="0" containsString="0" containsNumber="1" containsInteger="1" minValue="1042" maxValue="6816"/>
    </cacheField>
    <cacheField name="Orders" numFmtId="0">
      <sharedItems containsSemiMixedTypes="0" containsString="0" containsNumber="1" containsInteger="1" minValue="1" maxValue="12"/>
    </cacheField>
    <cacheField name="Preferred_Category" numFmtId="0">
      <sharedItems count="5">
        <s v="Electronics"/>
        <s v="Home"/>
        <s v="Fashion"/>
        <s v="Groceries"/>
        <s v="Beauty"/>
      </sharedItems>
    </cacheField>
    <cacheField name="Customer_Segment" numFmtId="0">
      <sharedItems count="3">
        <s v="High Value"/>
        <s v="Medium Value"/>
        <s v="Low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001"/>
    <s v="Aarav"/>
    <n v="48"/>
    <s v="Male"/>
    <x v="0"/>
    <n v="4606"/>
    <n v="11"/>
    <x v="0"/>
    <x v="0"/>
  </r>
  <r>
    <s v="C002"/>
    <s v="Diya"/>
    <n v="21"/>
    <s v="Female"/>
    <x v="1"/>
    <n v="5127"/>
    <n v="5"/>
    <x v="1"/>
    <x v="0"/>
  </r>
  <r>
    <s v="C003"/>
    <s v="Rahul"/>
    <n v="48"/>
    <s v="Male"/>
    <x v="0"/>
    <n v="2149"/>
    <n v="11"/>
    <x v="1"/>
    <x v="1"/>
  </r>
  <r>
    <s v="C004"/>
    <s v="Ananya"/>
    <n v="32"/>
    <s v="Female"/>
    <x v="2"/>
    <n v="6643"/>
    <n v="11"/>
    <x v="2"/>
    <x v="0"/>
  </r>
  <r>
    <s v="C005"/>
    <s v="Kiran"/>
    <n v="42"/>
    <s v="Male"/>
    <x v="0"/>
    <n v="4468"/>
    <n v="12"/>
    <x v="3"/>
    <x v="0"/>
  </r>
  <r>
    <s v="C006"/>
    <s v="Sneha"/>
    <n v="36"/>
    <s v="Female"/>
    <x v="2"/>
    <n v="2496"/>
    <n v="8"/>
    <x v="0"/>
    <x v="1"/>
  </r>
  <r>
    <s v="C007"/>
    <s v="Vikram"/>
    <n v="27"/>
    <s v="Male"/>
    <x v="3"/>
    <n v="6127"/>
    <n v="4"/>
    <x v="3"/>
    <x v="0"/>
  </r>
  <r>
    <s v="C008"/>
    <s v="Priya"/>
    <n v="32"/>
    <s v="Female"/>
    <x v="2"/>
    <n v="5260"/>
    <n v="1"/>
    <x v="4"/>
    <x v="0"/>
  </r>
  <r>
    <s v="C009"/>
    <s v="Arjun"/>
    <n v="21"/>
    <s v="Male"/>
    <x v="4"/>
    <n v="4157"/>
    <n v="9"/>
    <x v="2"/>
    <x v="0"/>
  </r>
  <r>
    <s v="C010"/>
    <s v="Meera"/>
    <n v="39"/>
    <s v="Female"/>
    <x v="1"/>
    <n v="6494"/>
    <n v="10"/>
    <x v="2"/>
    <x v="0"/>
  </r>
  <r>
    <s v="C011"/>
    <s v="Rohan"/>
    <n v="47"/>
    <s v="Male"/>
    <x v="4"/>
    <n v="3526"/>
    <n v="11"/>
    <x v="3"/>
    <x v="1"/>
  </r>
  <r>
    <s v="C012"/>
    <s v="Kavya"/>
    <n v="28"/>
    <s v="Female"/>
    <x v="4"/>
    <n v="5600"/>
    <n v="2"/>
    <x v="4"/>
    <x v="0"/>
  </r>
  <r>
    <s v="C013"/>
    <s v="Aditya"/>
    <n v="28"/>
    <s v="Male"/>
    <x v="1"/>
    <n v="4006"/>
    <n v="10"/>
    <x v="4"/>
    <x v="0"/>
  </r>
  <r>
    <s v="C014"/>
    <s v="Nisha"/>
    <n v="30"/>
    <s v="Female"/>
    <x v="2"/>
    <n v="5508"/>
    <n v="1"/>
    <x v="0"/>
    <x v="0"/>
  </r>
  <r>
    <s v="C015"/>
    <s v="Sanjay"/>
    <n v="43"/>
    <s v="Male"/>
    <x v="3"/>
    <n v="2020"/>
    <n v="10"/>
    <x v="4"/>
    <x v="1"/>
  </r>
  <r>
    <s v="C016"/>
    <s v="Pooja"/>
    <n v="37"/>
    <s v="Female"/>
    <x v="0"/>
    <n v="3466"/>
    <n v="11"/>
    <x v="4"/>
    <x v="1"/>
  </r>
  <r>
    <s v="C017"/>
    <s v="Manoj"/>
    <n v="34"/>
    <s v="Male"/>
    <x v="1"/>
    <n v="1382"/>
    <n v="8"/>
    <x v="2"/>
    <x v="2"/>
  </r>
  <r>
    <s v="C018"/>
    <s v="Aisha"/>
    <n v="44"/>
    <s v="Female"/>
    <x v="3"/>
    <n v="1246"/>
    <n v="2"/>
    <x v="1"/>
    <x v="2"/>
  </r>
  <r>
    <s v="C019"/>
    <s v="Varun"/>
    <n v="32"/>
    <s v="Male"/>
    <x v="0"/>
    <n v="5726"/>
    <n v="8"/>
    <x v="2"/>
    <x v="0"/>
  </r>
  <r>
    <s v="C020"/>
    <s v="Neha"/>
    <n v="42"/>
    <s v="Female"/>
    <x v="1"/>
    <n v="6580"/>
    <n v="2"/>
    <x v="1"/>
    <x v="0"/>
  </r>
  <r>
    <s v="C021"/>
    <s v="Akash"/>
    <n v="46"/>
    <s v="Male"/>
    <x v="2"/>
    <n v="4532"/>
    <n v="4"/>
    <x v="4"/>
    <x v="0"/>
  </r>
  <r>
    <s v="C022"/>
    <s v="Divya"/>
    <n v="24"/>
    <s v="Female"/>
    <x v="1"/>
    <n v="2197"/>
    <n v="3"/>
    <x v="1"/>
    <x v="1"/>
  </r>
  <r>
    <s v="C023"/>
    <s v="Suresh"/>
    <n v="26"/>
    <s v="Male"/>
    <x v="2"/>
    <n v="6234"/>
    <n v="12"/>
    <x v="0"/>
    <x v="0"/>
  </r>
  <r>
    <s v="C024"/>
    <s v="Isha"/>
    <n v="47"/>
    <s v="Female"/>
    <x v="2"/>
    <n v="6255"/>
    <n v="10"/>
    <x v="2"/>
    <x v="0"/>
  </r>
  <r>
    <s v="C025"/>
    <s v="Karthik"/>
    <n v="41"/>
    <s v="Male"/>
    <x v="1"/>
    <n v="6816"/>
    <n v="2"/>
    <x v="2"/>
    <x v="0"/>
  </r>
  <r>
    <s v="C026"/>
    <s v="Lavanya"/>
    <n v="37"/>
    <s v="Female"/>
    <x v="4"/>
    <n v="1397"/>
    <n v="1"/>
    <x v="2"/>
    <x v="2"/>
  </r>
  <r>
    <s v="C027"/>
    <s v="Ritesh"/>
    <n v="35"/>
    <s v="Male"/>
    <x v="3"/>
    <n v="1802"/>
    <n v="7"/>
    <x v="3"/>
    <x v="2"/>
  </r>
  <r>
    <s v="C028"/>
    <s v="Shreya"/>
    <n v="36"/>
    <s v="Female"/>
    <x v="2"/>
    <n v="2457"/>
    <n v="2"/>
    <x v="4"/>
    <x v="1"/>
  </r>
  <r>
    <s v="C029"/>
    <s v="Harish"/>
    <n v="36"/>
    <s v="Male"/>
    <x v="2"/>
    <n v="1042"/>
    <n v="5"/>
    <x v="3"/>
    <x v="2"/>
  </r>
  <r>
    <s v="C030"/>
    <s v="Anu"/>
    <n v="49"/>
    <s v="Female"/>
    <x v="0"/>
    <n v="1556"/>
    <n v="1"/>
    <x v="1"/>
    <x v="2"/>
  </r>
  <r>
    <s v="C031"/>
    <s v="Yash"/>
    <n v="38"/>
    <s v="Male"/>
    <x v="3"/>
    <n v="6147"/>
    <n v="5"/>
    <x v="3"/>
    <x v="0"/>
  </r>
  <r>
    <s v="C032"/>
    <s v="Swathi"/>
    <n v="27"/>
    <s v="Female"/>
    <x v="2"/>
    <n v="2442"/>
    <n v="8"/>
    <x v="4"/>
    <x v="1"/>
  </r>
  <r>
    <s v="C033"/>
    <s v="Nitin"/>
    <n v="33"/>
    <s v="Male"/>
    <x v="0"/>
    <n v="5867"/>
    <n v="3"/>
    <x v="1"/>
    <x v="0"/>
  </r>
  <r>
    <s v="C034"/>
    <s v="Riya"/>
    <n v="33"/>
    <s v="Female"/>
    <x v="2"/>
    <n v="2233"/>
    <n v="9"/>
    <x v="4"/>
    <x v="1"/>
  </r>
  <r>
    <s v="C035"/>
    <s v="Surya"/>
    <n v="32"/>
    <s v="Male"/>
    <x v="4"/>
    <n v="4248"/>
    <n v="9"/>
    <x v="0"/>
    <x v="0"/>
  </r>
  <r>
    <s v="C036"/>
    <s v="Keerthi"/>
    <n v="26"/>
    <s v="Female"/>
    <x v="0"/>
    <n v="1761"/>
    <n v="9"/>
    <x v="0"/>
    <x v="2"/>
  </r>
  <r>
    <s v="C037"/>
    <s v="Ajay"/>
    <n v="37"/>
    <s v="Male"/>
    <x v="0"/>
    <n v="1618"/>
    <n v="9"/>
    <x v="0"/>
    <x v="2"/>
  </r>
  <r>
    <s v="C038"/>
    <s v="Madhavi"/>
    <n v="28"/>
    <s v="Female"/>
    <x v="1"/>
    <n v="5704"/>
    <n v="3"/>
    <x v="2"/>
    <x v="0"/>
  </r>
  <r>
    <s v="C039"/>
    <s v="Rakesh"/>
    <n v="30"/>
    <s v="Male"/>
    <x v="1"/>
    <n v="2098"/>
    <n v="3"/>
    <x v="4"/>
    <x v="1"/>
  </r>
  <r>
    <s v="C040"/>
    <s v="Bhavya"/>
    <n v="45"/>
    <s v="Female"/>
    <x v="0"/>
    <n v="2801"/>
    <n v="12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D314E-8D69-4240-A64D-8FFA293D52A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EAD39-E13C-4C4D-AD9C-7016639C208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A0B8E-CAF2-48FC-8B11-D86D70F1766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9"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urchase_Amoun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2AB8-8108-48BE-B8FA-AF2126548BAE}">
  <dimension ref="A3:B7"/>
  <sheetViews>
    <sheetView workbookViewId="0">
      <selection activeCell="B20" sqref="B20"/>
    </sheetView>
  </sheetViews>
  <sheetFormatPr defaultRowHeight="14.5" x14ac:dyDescent="0.35"/>
  <cols>
    <col min="1" max="1" width="13" bestFit="1" customWidth="1"/>
    <col min="2" max="2" width="19.7265625" bestFit="1" customWidth="1"/>
  </cols>
  <sheetData>
    <row r="3" spans="1:2" x14ac:dyDescent="0.35">
      <c r="A3" s="8" t="s">
        <v>108</v>
      </c>
      <c r="B3" t="s">
        <v>110</v>
      </c>
    </row>
    <row r="4" spans="1:2" x14ac:dyDescent="0.35">
      <c r="A4" s="9" t="s">
        <v>14</v>
      </c>
      <c r="B4" s="10">
        <v>21</v>
      </c>
    </row>
    <row r="5" spans="1:2" x14ac:dyDescent="0.35">
      <c r="A5" s="9" t="s">
        <v>57</v>
      </c>
      <c r="B5" s="10">
        <v>8</v>
      </c>
    </row>
    <row r="6" spans="1:2" x14ac:dyDescent="0.35">
      <c r="A6" s="9" t="s">
        <v>22</v>
      </c>
      <c r="B6" s="10">
        <v>11</v>
      </c>
    </row>
    <row r="7" spans="1:2" x14ac:dyDescent="0.35">
      <c r="A7" s="9" t="s">
        <v>109</v>
      </c>
      <c r="B7" s="10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F14B-D745-4EF0-82E6-E139158D11D9}">
  <dimension ref="A3:B9"/>
  <sheetViews>
    <sheetView workbookViewId="0">
      <selection activeCell="C17" sqref="C17"/>
    </sheetView>
  </sheetViews>
  <sheetFormatPr defaultRowHeight="14.5" x14ac:dyDescent="0.35"/>
  <cols>
    <col min="1" max="1" width="12.36328125" bestFit="1" customWidth="1"/>
    <col min="2" max="2" width="19.7265625" bestFit="1" customWidth="1"/>
  </cols>
  <sheetData>
    <row r="3" spans="1:2" x14ac:dyDescent="0.35">
      <c r="A3" s="8" t="s">
        <v>108</v>
      </c>
      <c r="B3" t="s">
        <v>110</v>
      </c>
    </row>
    <row r="4" spans="1:2" x14ac:dyDescent="0.35">
      <c r="A4" s="9" t="s">
        <v>37</v>
      </c>
      <c r="B4" s="10">
        <v>10</v>
      </c>
    </row>
    <row r="5" spans="1:2" x14ac:dyDescent="0.35">
      <c r="A5" s="9" t="s">
        <v>13</v>
      </c>
      <c r="B5" s="10">
        <v>7</v>
      </c>
    </row>
    <row r="6" spans="1:2" x14ac:dyDescent="0.35">
      <c r="A6" s="9" t="s">
        <v>26</v>
      </c>
      <c r="B6" s="10">
        <v>9</v>
      </c>
    </row>
    <row r="7" spans="1:2" x14ac:dyDescent="0.35">
      <c r="A7" s="9" t="s">
        <v>29</v>
      </c>
      <c r="B7" s="10">
        <v>7</v>
      </c>
    </row>
    <row r="8" spans="1:2" x14ac:dyDescent="0.35">
      <c r="A8" s="9" t="s">
        <v>19</v>
      </c>
      <c r="B8" s="10">
        <v>7</v>
      </c>
    </row>
    <row r="9" spans="1:2" x14ac:dyDescent="0.35">
      <c r="A9" s="9" t="s">
        <v>109</v>
      </c>
      <c r="B9" s="10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DE9-7FA0-4453-A2C4-3088F292AE3F}">
  <dimension ref="A3:B9"/>
  <sheetViews>
    <sheetView workbookViewId="0">
      <selection activeCell="L13" sqref="L13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8" t="s">
        <v>108</v>
      </c>
      <c r="B3" t="s">
        <v>111</v>
      </c>
    </row>
    <row r="4" spans="1:2" x14ac:dyDescent="0.35">
      <c r="A4" s="9" t="s">
        <v>12</v>
      </c>
      <c r="B4" s="10">
        <v>34018</v>
      </c>
    </row>
    <row r="5" spans="1:2" x14ac:dyDescent="0.35">
      <c r="A5" s="9" t="s">
        <v>34</v>
      </c>
      <c r="B5" s="10">
        <v>17342</v>
      </c>
    </row>
    <row r="6" spans="1:2" x14ac:dyDescent="0.35">
      <c r="A6" s="9" t="s">
        <v>18</v>
      </c>
      <c r="B6" s="10">
        <v>40404</v>
      </c>
    </row>
    <row r="7" spans="1:2" x14ac:dyDescent="0.35">
      <c r="A7" s="9" t="s">
        <v>25</v>
      </c>
      <c r="B7" s="10">
        <v>45102</v>
      </c>
    </row>
    <row r="8" spans="1:2" x14ac:dyDescent="0.35">
      <c r="A8" s="9" t="s">
        <v>40</v>
      </c>
      <c r="B8" s="10">
        <v>18928</v>
      </c>
    </row>
    <row r="9" spans="1:2" x14ac:dyDescent="0.35">
      <c r="A9" s="9" t="s">
        <v>109</v>
      </c>
      <c r="B9" s="10">
        <v>155794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sqref="A1:I4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48</v>
      </c>
      <c r="D2" t="s">
        <v>11</v>
      </c>
      <c r="E2" t="s">
        <v>12</v>
      </c>
      <c r="F2">
        <v>4606</v>
      </c>
      <c r="G2">
        <v>11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>
        <v>21</v>
      </c>
      <c r="D3" t="s">
        <v>17</v>
      </c>
      <c r="E3" t="s">
        <v>18</v>
      </c>
      <c r="F3">
        <v>5127</v>
      </c>
      <c r="G3">
        <v>5</v>
      </c>
      <c r="H3" t="s">
        <v>19</v>
      </c>
      <c r="I3" t="s">
        <v>14</v>
      </c>
    </row>
    <row r="4" spans="1:9" x14ac:dyDescent="0.35">
      <c r="A4" t="s">
        <v>20</v>
      </c>
      <c r="B4" t="s">
        <v>21</v>
      </c>
      <c r="C4">
        <v>48</v>
      </c>
      <c r="D4" t="s">
        <v>11</v>
      </c>
      <c r="E4" t="s">
        <v>12</v>
      </c>
      <c r="F4">
        <v>2149</v>
      </c>
      <c r="G4">
        <v>11</v>
      </c>
      <c r="H4" t="s">
        <v>19</v>
      </c>
      <c r="I4" t="s">
        <v>22</v>
      </c>
    </row>
    <row r="5" spans="1:9" x14ac:dyDescent="0.35">
      <c r="A5" t="s">
        <v>23</v>
      </c>
      <c r="B5" t="s">
        <v>24</v>
      </c>
      <c r="C5">
        <v>32</v>
      </c>
      <c r="D5" t="s">
        <v>17</v>
      </c>
      <c r="E5" t="s">
        <v>25</v>
      </c>
      <c r="F5">
        <v>6643</v>
      </c>
      <c r="G5">
        <v>11</v>
      </c>
      <c r="H5" t="s">
        <v>26</v>
      </c>
      <c r="I5" t="s">
        <v>14</v>
      </c>
    </row>
    <row r="6" spans="1:9" x14ac:dyDescent="0.35">
      <c r="A6" t="s">
        <v>27</v>
      </c>
      <c r="B6" t="s">
        <v>28</v>
      </c>
      <c r="C6">
        <v>42</v>
      </c>
      <c r="D6" t="s">
        <v>11</v>
      </c>
      <c r="E6" t="s">
        <v>12</v>
      </c>
      <c r="F6">
        <v>4468</v>
      </c>
      <c r="G6">
        <v>12</v>
      </c>
      <c r="H6" t="s">
        <v>29</v>
      </c>
      <c r="I6" t="s">
        <v>14</v>
      </c>
    </row>
    <row r="7" spans="1:9" x14ac:dyDescent="0.35">
      <c r="A7" t="s">
        <v>30</v>
      </c>
      <c r="B7" t="s">
        <v>31</v>
      </c>
      <c r="C7">
        <v>36</v>
      </c>
      <c r="D7" t="s">
        <v>17</v>
      </c>
      <c r="E7" t="s">
        <v>25</v>
      </c>
      <c r="F7">
        <v>2496</v>
      </c>
      <c r="G7">
        <v>8</v>
      </c>
      <c r="H7" t="s">
        <v>13</v>
      </c>
      <c r="I7" t="s">
        <v>22</v>
      </c>
    </row>
    <row r="8" spans="1:9" x14ac:dyDescent="0.35">
      <c r="A8" t="s">
        <v>32</v>
      </c>
      <c r="B8" t="s">
        <v>33</v>
      </c>
      <c r="C8">
        <v>27</v>
      </c>
      <c r="D8" t="s">
        <v>11</v>
      </c>
      <c r="E8" t="s">
        <v>34</v>
      </c>
      <c r="F8">
        <v>6127</v>
      </c>
      <c r="G8">
        <v>4</v>
      </c>
      <c r="H8" t="s">
        <v>29</v>
      </c>
      <c r="I8" t="s">
        <v>14</v>
      </c>
    </row>
    <row r="9" spans="1:9" x14ac:dyDescent="0.35">
      <c r="A9" t="s">
        <v>35</v>
      </c>
      <c r="B9" t="s">
        <v>36</v>
      </c>
      <c r="C9">
        <v>32</v>
      </c>
      <c r="D9" t="s">
        <v>17</v>
      </c>
      <c r="E9" t="s">
        <v>25</v>
      </c>
      <c r="F9">
        <v>5260</v>
      </c>
      <c r="G9">
        <v>1</v>
      </c>
      <c r="H9" t="s">
        <v>37</v>
      </c>
      <c r="I9" t="s">
        <v>14</v>
      </c>
    </row>
    <row r="10" spans="1:9" x14ac:dyDescent="0.35">
      <c r="A10" t="s">
        <v>38</v>
      </c>
      <c r="B10" t="s">
        <v>39</v>
      </c>
      <c r="C10">
        <v>21</v>
      </c>
      <c r="D10" t="s">
        <v>11</v>
      </c>
      <c r="E10" t="s">
        <v>40</v>
      </c>
      <c r="F10">
        <v>4157</v>
      </c>
      <c r="G10">
        <v>9</v>
      </c>
      <c r="H10" t="s">
        <v>26</v>
      </c>
      <c r="I10" t="s">
        <v>14</v>
      </c>
    </row>
    <row r="11" spans="1:9" x14ac:dyDescent="0.35">
      <c r="A11" t="s">
        <v>41</v>
      </c>
      <c r="B11" t="s">
        <v>42</v>
      </c>
      <c r="C11">
        <v>39</v>
      </c>
      <c r="D11" t="s">
        <v>17</v>
      </c>
      <c r="E11" t="s">
        <v>18</v>
      </c>
      <c r="F11">
        <v>6494</v>
      </c>
      <c r="G11">
        <v>10</v>
      </c>
      <c r="H11" t="s">
        <v>26</v>
      </c>
      <c r="I11" t="s">
        <v>14</v>
      </c>
    </row>
    <row r="12" spans="1:9" x14ac:dyDescent="0.35">
      <c r="A12" t="s">
        <v>43</v>
      </c>
      <c r="B12" t="s">
        <v>44</v>
      </c>
      <c r="C12">
        <v>47</v>
      </c>
      <c r="D12" t="s">
        <v>11</v>
      </c>
      <c r="E12" t="s">
        <v>40</v>
      </c>
      <c r="F12">
        <v>3526</v>
      </c>
      <c r="G12">
        <v>11</v>
      </c>
      <c r="H12" t="s">
        <v>29</v>
      </c>
      <c r="I12" t="s">
        <v>22</v>
      </c>
    </row>
    <row r="13" spans="1:9" x14ac:dyDescent="0.35">
      <c r="A13" t="s">
        <v>45</v>
      </c>
      <c r="B13" t="s">
        <v>46</v>
      </c>
      <c r="C13">
        <v>28</v>
      </c>
      <c r="D13" t="s">
        <v>17</v>
      </c>
      <c r="E13" t="s">
        <v>40</v>
      </c>
      <c r="F13">
        <v>5600</v>
      </c>
      <c r="G13">
        <v>2</v>
      </c>
      <c r="H13" t="s">
        <v>37</v>
      </c>
      <c r="I13" t="s">
        <v>14</v>
      </c>
    </row>
    <row r="14" spans="1:9" x14ac:dyDescent="0.35">
      <c r="A14" t="s">
        <v>47</v>
      </c>
      <c r="B14" t="s">
        <v>48</v>
      </c>
      <c r="C14">
        <v>28</v>
      </c>
      <c r="D14" t="s">
        <v>11</v>
      </c>
      <c r="E14" t="s">
        <v>18</v>
      </c>
      <c r="F14">
        <v>4006</v>
      </c>
      <c r="G14">
        <v>10</v>
      </c>
      <c r="H14" t="s">
        <v>37</v>
      </c>
      <c r="I14" t="s">
        <v>14</v>
      </c>
    </row>
    <row r="15" spans="1:9" x14ac:dyDescent="0.35">
      <c r="A15" t="s">
        <v>49</v>
      </c>
      <c r="B15" t="s">
        <v>50</v>
      </c>
      <c r="C15">
        <v>30</v>
      </c>
      <c r="D15" t="s">
        <v>17</v>
      </c>
      <c r="E15" t="s">
        <v>25</v>
      </c>
      <c r="F15">
        <v>5508</v>
      </c>
      <c r="G15">
        <v>1</v>
      </c>
      <c r="H15" t="s">
        <v>13</v>
      </c>
      <c r="I15" t="s">
        <v>14</v>
      </c>
    </row>
    <row r="16" spans="1:9" x14ac:dyDescent="0.35">
      <c r="A16" t="s">
        <v>51</v>
      </c>
      <c r="B16" t="s">
        <v>52</v>
      </c>
      <c r="C16">
        <v>43</v>
      </c>
      <c r="D16" t="s">
        <v>11</v>
      </c>
      <c r="E16" t="s">
        <v>34</v>
      </c>
      <c r="F16">
        <v>2020</v>
      </c>
      <c r="G16">
        <v>10</v>
      </c>
      <c r="H16" t="s">
        <v>37</v>
      </c>
      <c r="I16" t="s">
        <v>22</v>
      </c>
    </row>
    <row r="17" spans="1:9" x14ac:dyDescent="0.35">
      <c r="A17" t="s">
        <v>53</v>
      </c>
      <c r="B17" t="s">
        <v>54</v>
      </c>
      <c r="C17">
        <v>37</v>
      </c>
      <c r="D17" t="s">
        <v>17</v>
      </c>
      <c r="E17" t="s">
        <v>12</v>
      </c>
      <c r="F17">
        <v>3466</v>
      </c>
      <c r="G17">
        <v>11</v>
      </c>
      <c r="H17" t="s">
        <v>37</v>
      </c>
      <c r="I17" t="s">
        <v>22</v>
      </c>
    </row>
    <row r="18" spans="1:9" x14ac:dyDescent="0.35">
      <c r="A18" t="s">
        <v>55</v>
      </c>
      <c r="B18" t="s">
        <v>56</v>
      </c>
      <c r="C18">
        <v>34</v>
      </c>
      <c r="D18" t="s">
        <v>11</v>
      </c>
      <c r="E18" t="s">
        <v>18</v>
      </c>
      <c r="F18">
        <v>1382</v>
      </c>
      <c r="G18">
        <v>8</v>
      </c>
      <c r="H18" t="s">
        <v>26</v>
      </c>
      <c r="I18" t="s">
        <v>57</v>
      </c>
    </row>
    <row r="19" spans="1:9" x14ac:dyDescent="0.35">
      <c r="A19" t="s">
        <v>58</v>
      </c>
      <c r="B19" t="s">
        <v>59</v>
      </c>
      <c r="C19">
        <v>44</v>
      </c>
      <c r="D19" t="s">
        <v>17</v>
      </c>
      <c r="E19" t="s">
        <v>34</v>
      </c>
      <c r="F19">
        <v>1246</v>
      </c>
      <c r="G19">
        <v>2</v>
      </c>
      <c r="H19" t="s">
        <v>19</v>
      </c>
      <c r="I19" t="s">
        <v>57</v>
      </c>
    </row>
    <row r="20" spans="1:9" x14ac:dyDescent="0.35">
      <c r="A20" t="s">
        <v>60</v>
      </c>
      <c r="B20" t="s">
        <v>61</v>
      </c>
      <c r="C20">
        <v>32</v>
      </c>
      <c r="D20" t="s">
        <v>11</v>
      </c>
      <c r="E20" t="s">
        <v>12</v>
      </c>
      <c r="F20">
        <v>5726</v>
      </c>
      <c r="G20">
        <v>8</v>
      </c>
      <c r="H20" t="s">
        <v>26</v>
      </c>
      <c r="I20" t="s">
        <v>14</v>
      </c>
    </row>
    <row r="21" spans="1:9" x14ac:dyDescent="0.35">
      <c r="A21" t="s">
        <v>62</v>
      </c>
      <c r="B21" t="s">
        <v>63</v>
      </c>
      <c r="C21">
        <v>42</v>
      </c>
      <c r="D21" t="s">
        <v>17</v>
      </c>
      <c r="E21" t="s">
        <v>18</v>
      </c>
      <c r="F21">
        <v>6580</v>
      </c>
      <c r="G21">
        <v>2</v>
      </c>
      <c r="H21" t="s">
        <v>19</v>
      </c>
      <c r="I21" t="s">
        <v>14</v>
      </c>
    </row>
    <row r="22" spans="1:9" x14ac:dyDescent="0.35">
      <c r="A22" t="s">
        <v>64</v>
      </c>
      <c r="B22" t="s">
        <v>65</v>
      </c>
      <c r="C22">
        <v>46</v>
      </c>
      <c r="D22" t="s">
        <v>11</v>
      </c>
      <c r="E22" t="s">
        <v>25</v>
      </c>
      <c r="F22">
        <v>4532</v>
      </c>
      <c r="G22">
        <v>4</v>
      </c>
      <c r="H22" t="s">
        <v>37</v>
      </c>
      <c r="I22" t="s">
        <v>14</v>
      </c>
    </row>
    <row r="23" spans="1:9" x14ac:dyDescent="0.35">
      <c r="A23" t="s">
        <v>66</v>
      </c>
      <c r="B23" t="s">
        <v>67</v>
      </c>
      <c r="C23">
        <v>24</v>
      </c>
      <c r="D23" t="s">
        <v>17</v>
      </c>
      <c r="E23" t="s">
        <v>18</v>
      </c>
      <c r="F23">
        <v>2197</v>
      </c>
      <c r="G23">
        <v>3</v>
      </c>
      <c r="H23" t="s">
        <v>19</v>
      </c>
      <c r="I23" t="s">
        <v>22</v>
      </c>
    </row>
    <row r="24" spans="1:9" x14ac:dyDescent="0.35">
      <c r="A24" t="s">
        <v>68</v>
      </c>
      <c r="B24" t="s">
        <v>69</v>
      </c>
      <c r="C24">
        <v>26</v>
      </c>
      <c r="D24" t="s">
        <v>11</v>
      </c>
      <c r="E24" t="s">
        <v>25</v>
      </c>
      <c r="F24">
        <v>6234</v>
      </c>
      <c r="G24">
        <v>12</v>
      </c>
      <c r="H24" t="s">
        <v>13</v>
      </c>
      <c r="I24" t="s">
        <v>14</v>
      </c>
    </row>
    <row r="25" spans="1:9" x14ac:dyDescent="0.35">
      <c r="A25" t="s">
        <v>70</v>
      </c>
      <c r="B25" t="s">
        <v>71</v>
      </c>
      <c r="C25">
        <v>47</v>
      </c>
      <c r="D25" t="s">
        <v>17</v>
      </c>
      <c r="E25" t="s">
        <v>25</v>
      </c>
      <c r="F25">
        <v>6255</v>
      </c>
      <c r="G25">
        <v>10</v>
      </c>
      <c r="H25" t="s">
        <v>26</v>
      </c>
      <c r="I25" t="s">
        <v>14</v>
      </c>
    </row>
    <row r="26" spans="1:9" x14ac:dyDescent="0.35">
      <c r="A26" t="s">
        <v>72</v>
      </c>
      <c r="B26" t="s">
        <v>73</v>
      </c>
      <c r="C26">
        <v>41</v>
      </c>
      <c r="D26" t="s">
        <v>11</v>
      </c>
      <c r="E26" t="s">
        <v>18</v>
      </c>
      <c r="F26">
        <v>6816</v>
      </c>
      <c r="G26">
        <v>2</v>
      </c>
      <c r="H26" t="s">
        <v>26</v>
      </c>
      <c r="I26" t="s">
        <v>14</v>
      </c>
    </row>
    <row r="27" spans="1:9" x14ac:dyDescent="0.35">
      <c r="A27" t="s">
        <v>74</v>
      </c>
      <c r="B27" t="s">
        <v>75</v>
      </c>
      <c r="C27">
        <v>37</v>
      </c>
      <c r="D27" t="s">
        <v>17</v>
      </c>
      <c r="E27" t="s">
        <v>40</v>
      </c>
      <c r="F27">
        <v>1397</v>
      </c>
      <c r="G27">
        <v>1</v>
      </c>
      <c r="H27" t="s">
        <v>26</v>
      </c>
      <c r="I27" t="s">
        <v>57</v>
      </c>
    </row>
    <row r="28" spans="1:9" x14ac:dyDescent="0.35">
      <c r="A28" t="s">
        <v>76</v>
      </c>
      <c r="B28" t="s">
        <v>77</v>
      </c>
      <c r="C28">
        <v>35</v>
      </c>
      <c r="D28" t="s">
        <v>11</v>
      </c>
      <c r="E28" t="s">
        <v>34</v>
      </c>
      <c r="F28">
        <v>1802</v>
      </c>
      <c r="G28">
        <v>7</v>
      </c>
      <c r="H28" t="s">
        <v>29</v>
      </c>
      <c r="I28" t="s">
        <v>57</v>
      </c>
    </row>
    <row r="29" spans="1:9" x14ac:dyDescent="0.35">
      <c r="A29" t="s">
        <v>78</v>
      </c>
      <c r="B29" t="s">
        <v>79</v>
      </c>
      <c r="C29">
        <v>36</v>
      </c>
      <c r="D29" t="s">
        <v>17</v>
      </c>
      <c r="E29" t="s">
        <v>25</v>
      </c>
      <c r="F29">
        <v>2457</v>
      </c>
      <c r="G29">
        <v>2</v>
      </c>
      <c r="H29" t="s">
        <v>37</v>
      </c>
      <c r="I29" t="s">
        <v>22</v>
      </c>
    </row>
    <row r="30" spans="1:9" x14ac:dyDescent="0.35">
      <c r="A30" t="s">
        <v>80</v>
      </c>
      <c r="B30" t="s">
        <v>81</v>
      </c>
      <c r="C30">
        <v>36</v>
      </c>
      <c r="D30" t="s">
        <v>11</v>
      </c>
      <c r="E30" t="s">
        <v>25</v>
      </c>
      <c r="F30">
        <v>1042</v>
      </c>
      <c r="G30">
        <v>5</v>
      </c>
      <c r="H30" t="s">
        <v>29</v>
      </c>
      <c r="I30" t="s">
        <v>57</v>
      </c>
    </row>
    <row r="31" spans="1:9" x14ac:dyDescent="0.35">
      <c r="A31" t="s">
        <v>82</v>
      </c>
      <c r="B31" t="s">
        <v>83</v>
      </c>
      <c r="C31">
        <v>49</v>
      </c>
      <c r="D31" t="s">
        <v>17</v>
      </c>
      <c r="E31" t="s">
        <v>12</v>
      </c>
      <c r="F31">
        <v>1556</v>
      </c>
      <c r="G31">
        <v>1</v>
      </c>
      <c r="H31" t="s">
        <v>19</v>
      </c>
      <c r="I31" t="s">
        <v>57</v>
      </c>
    </row>
    <row r="32" spans="1:9" x14ac:dyDescent="0.35">
      <c r="A32" t="s">
        <v>84</v>
      </c>
      <c r="B32" t="s">
        <v>85</v>
      </c>
      <c r="C32">
        <v>38</v>
      </c>
      <c r="D32" t="s">
        <v>11</v>
      </c>
      <c r="E32" t="s">
        <v>34</v>
      </c>
      <c r="F32">
        <v>6147</v>
      </c>
      <c r="G32">
        <v>5</v>
      </c>
      <c r="H32" t="s">
        <v>29</v>
      </c>
      <c r="I32" t="s">
        <v>14</v>
      </c>
    </row>
    <row r="33" spans="1:9" x14ac:dyDescent="0.35">
      <c r="A33" t="s">
        <v>86</v>
      </c>
      <c r="B33" t="s">
        <v>87</v>
      </c>
      <c r="C33">
        <v>27</v>
      </c>
      <c r="D33" t="s">
        <v>17</v>
      </c>
      <c r="E33" t="s">
        <v>25</v>
      </c>
      <c r="F33">
        <v>2442</v>
      </c>
      <c r="G33">
        <v>8</v>
      </c>
      <c r="H33" t="s">
        <v>37</v>
      </c>
      <c r="I33" t="s">
        <v>22</v>
      </c>
    </row>
    <row r="34" spans="1:9" x14ac:dyDescent="0.35">
      <c r="A34" t="s">
        <v>88</v>
      </c>
      <c r="B34" t="s">
        <v>89</v>
      </c>
      <c r="C34">
        <v>33</v>
      </c>
      <c r="D34" t="s">
        <v>11</v>
      </c>
      <c r="E34" t="s">
        <v>12</v>
      </c>
      <c r="F34">
        <v>5867</v>
      </c>
      <c r="G34">
        <v>3</v>
      </c>
      <c r="H34" t="s">
        <v>19</v>
      </c>
      <c r="I34" t="s">
        <v>14</v>
      </c>
    </row>
    <row r="35" spans="1:9" x14ac:dyDescent="0.35">
      <c r="A35" t="s">
        <v>90</v>
      </c>
      <c r="B35" t="s">
        <v>91</v>
      </c>
      <c r="C35">
        <v>33</v>
      </c>
      <c r="D35" t="s">
        <v>17</v>
      </c>
      <c r="E35" t="s">
        <v>25</v>
      </c>
      <c r="F35">
        <v>2233</v>
      </c>
      <c r="G35">
        <v>9</v>
      </c>
      <c r="H35" t="s">
        <v>37</v>
      </c>
      <c r="I35" t="s">
        <v>22</v>
      </c>
    </row>
    <row r="36" spans="1:9" x14ac:dyDescent="0.35">
      <c r="A36" t="s">
        <v>92</v>
      </c>
      <c r="B36" t="s">
        <v>93</v>
      </c>
      <c r="C36">
        <v>32</v>
      </c>
      <c r="D36" t="s">
        <v>11</v>
      </c>
      <c r="E36" t="s">
        <v>40</v>
      </c>
      <c r="F36">
        <v>4248</v>
      </c>
      <c r="G36">
        <v>9</v>
      </c>
      <c r="H36" t="s">
        <v>13</v>
      </c>
      <c r="I36" t="s">
        <v>14</v>
      </c>
    </row>
    <row r="37" spans="1:9" x14ac:dyDescent="0.35">
      <c r="A37" t="s">
        <v>94</v>
      </c>
      <c r="B37" t="s">
        <v>95</v>
      </c>
      <c r="C37">
        <v>26</v>
      </c>
      <c r="D37" t="s">
        <v>17</v>
      </c>
      <c r="E37" t="s">
        <v>12</v>
      </c>
      <c r="F37">
        <v>1761</v>
      </c>
      <c r="G37">
        <v>9</v>
      </c>
      <c r="H37" t="s">
        <v>13</v>
      </c>
      <c r="I37" t="s">
        <v>57</v>
      </c>
    </row>
    <row r="38" spans="1:9" x14ac:dyDescent="0.35">
      <c r="A38" t="s">
        <v>96</v>
      </c>
      <c r="B38" t="s">
        <v>97</v>
      </c>
      <c r="C38">
        <v>37</v>
      </c>
      <c r="D38" t="s">
        <v>11</v>
      </c>
      <c r="E38" t="s">
        <v>12</v>
      </c>
      <c r="F38">
        <v>1618</v>
      </c>
      <c r="G38">
        <v>9</v>
      </c>
      <c r="H38" t="s">
        <v>13</v>
      </c>
      <c r="I38" t="s">
        <v>57</v>
      </c>
    </row>
    <row r="39" spans="1:9" x14ac:dyDescent="0.35">
      <c r="A39" t="s">
        <v>98</v>
      </c>
      <c r="B39" t="s">
        <v>99</v>
      </c>
      <c r="C39">
        <v>28</v>
      </c>
      <c r="D39" t="s">
        <v>17</v>
      </c>
      <c r="E39" t="s">
        <v>18</v>
      </c>
      <c r="F39">
        <v>5704</v>
      </c>
      <c r="G39">
        <v>3</v>
      </c>
      <c r="H39" t="s">
        <v>26</v>
      </c>
      <c r="I39" t="s">
        <v>14</v>
      </c>
    </row>
    <row r="40" spans="1:9" x14ac:dyDescent="0.35">
      <c r="A40" t="s">
        <v>100</v>
      </c>
      <c r="B40" t="s">
        <v>101</v>
      </c>
      <c r="C40">
        <v>30</v>
      </c>
      <c r="D40" t="s">
        <v>11</v>
      </c>
      <c r="E40" t="s">
        <v>18</v>
      </c>
      <c r="F40">
        <v>2098</v>
      </c>
      <c r="G40">
        <v>3</v>
      </c>
      <c r="H40" t="s">
        <v>37</v>
      </c>
      <c r="I40" t="s">
        <v>22</v>
      </c>
    </row>
    <row r="41" spans="1:9" x14ac:dyDescent="0.35">
      <c r="A41" t="s">
        <v>102</v>
      </c>
      <c r="B41" t="s">
        <v>103</v>
      </c>
      <c r="C41">
        <v>45</v>
      </c>
      <c r="D41" t="s">
        <v>17</v>
      </c>
      <c r="E41" t="s">
        <v>12</v>
      </c>
      <c r="F41">
        <v>2801</v>
      </c>
      <c r="G41">
        <v>12</v>
      </c>
      <c r="H41" t="s">
        <v>29</v>
      </c>
      <c r="I41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73DE-17DA-468C-8136-2DAFB6428FDD}">
  <dimension ref="A1:J34"/>
  <sheetViews>
    <sheetView tabSelected="1" zoomScale="60" workbookViewId="0">
      <selection activeCell="M20" sqref="M20"/>
    </sheetView>
  </sheetViews>
  <sheetFormatPr defaultRowHeight="14.5" x14ac:dyDescent="0.35"/>
  <cols>
    <col min="1" max="1" width="16.90625" style="1" customWidth="1"/>
    <col min="2" max="2" width="11.36328125" style="1" customWidth="1"/>
    <col min="3" max="3" width="8.7265625" style="1"/>
    <col min="4" max="4" width="23" style="1" customWidth="1"/>
    <col min="5" max="6" width="8.7265625" style="1"/>
    <col min="7" max="7" width="19" style="1" customWidth="1"/>
    <col min="8" max="16384" width="8.7265625" style="1"/>
  </cols>
  <sheetData>
    <row r="1" spans="1:8" x14ac:dyDescent="0.35">
      <c r="A1" s="2" t="s">
        <v>104</v>
      </c>
      <c r="B1" s="2">
        <f>COUNTA('Customer Data'!A:A)-1</f>
        <v>40</v>
      </c>
      <c r="D1" s="3" t="s">
        <v>105</v>
      </c>
      <c r="E1" s="3">
        <f>COUNTIF('Customer Data'!I:I,"High Value")</f>
        <v>21</v>
      </c>
      <c r="G1" s="4" t="s">
        <v>106</v>
      </c>
      <c r="H1" s="4">
        <f>AVERAGE('Customer Data'!F:F)</f>
        <v>3894.85</v>
      </c>
    </row>
    <row r="3" spans="1:8" ht="29.5" x14ac:dyDescent="0.55000000000000004">
      <c r="A3" s="6" t="s">
        <v>107</v>
      </c>
      <c r="B3" s="7"/>
      <c r="C3" s="7"/>
      <c r="D3" s="7"/>
      <c r="E3" s="7"/>
      <c r="F3" s="7"/>
      <c r="G3" s="7"/>
      <c r="H3" s="7"/>
    </row>
    <row r="23" spans="8:10" x14ac:dyDescent="0.35">
      <c r="H23" s="11" t="s">
        <v>112</v>
      </c>
      <c r="I23" s="5"/>
      <c r="J23" s="5"/>
    </row>
    <row r="24" spans="8:10" x14ac:dyDescent="0.35">
      <c r="H24" s="5"/>
      <c r="I24" s="5"/>
      <c r="J24" s="5"/>
    </row>
    <row r="25" spans="8:10" x14ac:dyDescent="0.35">
      <c r="H25" s="5"/>
      <c r="I25" s="5"/>
      <c r="J25" s="5"/>
    </row>
    <row r="26" spans="8:10" x14ac:dyDescent="0.35">
      <c r="H26" s="5"/>
      <c r="I26" s="5"/>
      <c r="J26" s="5"/>
    </row>
    <row r="27" spans="8:10" x14ac:dyDescent="0.35">
      <c r="H27" s="5"/>
      <c r="I27" s="5"/>
      <c r="J27" s="5"/>
    </row>
    <row r="28" spans="8:10" x14ac:dyDescent="0.35">
      <c r="H28" s="5"/>
      <c r="I28" s="5"/>
      <c r="J28" s="5"/>
    </row>
    <row r="29" spans="8:10" x14ac:dyDescent="0.35">
      <c r="H29" s="5"/>
      <c r="I29" s="5"/>
      <c r="J29" s="5"/>
    </row>
    <row r="30" spans="8:10" x14ac:dyDescent="0.35">
      <c r="H30" s="5"/>
      <c r="I30" s="5"/>
      <c r="J30" s="5"/>
    </row>
    <row r="31" spans="8:10" x14ac:dyDescent="0.35">
      <c r="H31" s="5"/>
      <c r="I31" s="5"/>
      <c r="J31" s="5"/>
    </row>
    <row r="32" spans="8:10" x14ac:dyDescent="0.35">
      <c r="H32" s="5"/>
      <c r="I32" s="5"/>
      <c r="J32" s="5"/>
    </row>
    <row r="33" spans="8:10" x14ac:dyDescent="0.35">
      <c r="H33" s="5"/>
      <c r="I33" s="5"/>
      <c r="J33" s="5"/>
    </row>
    <row r="34" spans="8:10" x14ac:dyDescent="0.35">
      <c r="H34" s="5"/>
      <c r="I34" s="5"/>
      <c r="J34" s="5"/>
    </row>
  </sheetData>
  <mergeCells count="2">
    <mergeCell ref="A3:H3"/>
    <mergeCell ref="H23:J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Segmentation</vt:lpstr>
      <vt:lpstr>Customer Preferences</vt:lpstr>
      <vt:lpstr>Purchase by City</vt:lpstr>
      <vt:lpstr>Customer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Preethi PM</cp:lastModifiedBy>
  <dcterms:created xsi:type="dcterms:W3CDTF">2026-06-09T09:04:57Z</dcterms:created>
  <dcterms:modified xsi:type="dcterms:W3CDTF">2026-06-09T09:30:15Z</dcterms:modified>
</cp:coreProperties>
</file>